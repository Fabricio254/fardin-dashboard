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ocesfardin.sharepoint.com/Shared Documents/02.Comercial/3. Indicadores/2026/"/>
    </mc:Choice>
  </mc:AlternateContent>
  <xr:revisionPtr revIDLastSave="0" documentId="8_{800C2B15-CBD1-4715-A70B-B64632699BEA}" xr6:coauthVersionLast="47" xr6:coauthVersionMax="47" xr10:uidLastSave="{00000000-0000-0000-0000-000000000000}"/>
  <bookViews>
    <workbookView xWindow="-108" yWindow="-108" windowWidth="23256" windowHeight="12456" tabRatio="989" firstSheet="6" activeTab="6" xr2:uid="{00000000-000D-0000-FFFF-FFFF00000000}"/>
  </bookViews>
  <sheets>
    <sheet name="Plan. Vendas" sheetId="16" r:id="rId1"/>
    <sheet name="Evolução de Vendas Mês GLOBAL" sheetId="4" r:id="rId2"/>
    <sheet name="Meta x Real de Vendas  Global" sheetId="7" r:id="rId3"/>
    <sheet name="Evolução de Vendas Mês FARDIN" sheetId="18" r:id="rId4"/>
    <sheet name="Meta x Real de Vendas  FARDIN" sheetId="9" r:id="rId5"/>
    <sheet name="Histórico de Fatu. FARDIN P.F." sheetId="15" r:id="rId6"/>
    <sheet name="Histórico de Fatu. FARDIN P.R." sheetId="14" r:id="rId7"/>
    <sheet name="Orçamento Comercial" sheetId="17" r:id="rId8"/>
    <sheet name=" Agenda de Impacto" sheetId="13" r:id="rId9"/>
    <sheet name="Gráficos" sheetId="8" state="hidden" r:id="rId10"/>
    <sheet name="Faturamento per Capita" sheetId="2" state="hidden" r:id="rId11"/>
  </sheets>
  <definedNames>
    <definedName name="_xlnm.Print_Area" localSheetId="3">'Evolução de Vendas Mês FARDIN'!$A$1:$J$34</definedName>
    <definedName name="_xlnm.Print_Area" localSheetId="1">'Evolução de Vendas Mês GLOBAL'!$A$1:$I$35</definedName>
    <definedName name="_xlnm.Print_Area" localSheetId="10">'Faturamento per Capita'!$A$1:$J$38</definedName>
    <definedName name="_xlnm.Print_Area" localSheetId="7">'Orçamento Comercial'!$A$1:$L$35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6" l="1"/>
  <c r="H24" i="16"/>
  <c r="G27" i="16"/>
  <c r="G24" i="16"/>
  <c r="G25" i="16"/>
  <c r="L11" i="18"/>
  <c r="M6" i="16"/>
  <c r="M5" i="16"/>
  <c r="L5" i="16"/>
  <c r="L6" i="16"/>
  <c r="G30" i="16"/>
  <c r="M24" i="16"/>
  <c r="M25" i="16"/>
  <c r="M26" i="16"/>
  <c r="M27" i="16"/>
  <c r="M28" i="16"/>
  <c r="M29" i="16"/>
  <c r="L29" i="16"/>
  <c r="L28" i="16"/>
  <c r="L27" i="16"/>
  <c r="L26" i="16"/>
  <c r="L25" i="16"/>
  <c r="L24" i="16"/>
  <c r="L18" i="16"/>
  <c r="H29" i="16"/>
  <c r="H28" i="16"/>
  <c r="H27" i="16"/>
  <c r="H26" i="16"/>
  <c r="H25" i="16"/>
  <c r="H23" i="16"/>
  <c r="H22" i="16"/>
  <c r="H18" i="16"/>
  <c r="H21" i="16"/>
  <c r="H20" i="16"/>
  <c r="H19" i="16"/>
  <c r="G29" i="16"/>
  <c r="G28" i="16"/>
  <c r="G18" i="16"/>
  <c r="G19" i="16"/>
  <c r="F5" i="16"/>
  <c r="E11" i="18"/>
  <c r="J7" i="15"/>
  <c r="R12" i="9"/>
  <c r="P12" i="9"/>
  <c r="N12" i="9"/>
  <c r="L12" i="9"/>
  <c r="J8" i="14"/>
  <c r="L10" i="9"/>
  <c r="L11" i="9"/>
  <c r="J7" i="14"/>
  <c r="I75" i="14"/>
  <c r="J75" i="14"/>
  <c r="H75" i="14"/>
  <c r="J11" i="14"/>
  <c r="J10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J27" i="14"/>
  <c r="K27" i="14"/>
  <c r="L27" i="14"/>
  <c r="M27" i="14"/>
  <c r="N27" i="14"/>
  <c r="O27" i="14"/>
  <c r="P27" i="14"/>
  <c r="E27" i="14"/>
  <c r="F27" i="14"/>
  <c r="G27" i="14"/>
  <c r="H27" i="14"/>
  <c r="I27" i="14"/>
  <c r="I63" i="14"/>
  <c r="I11" i="14"/>
  <c r="I10" i="14"/>
  <c r="R7" i="9"/>
  <c r="F7" i="15"/>
  <c r="E7" i="15"/>
  <c r="F7" i="14"/>
  <c r="E7" i="14"/>
  <c r="R10" i="9"/>
  <c r="E10" i="7"/>
  <c r="P11" i="9"/>
  <c r="N11" i="9"/>
  <c r="R11" i="9" s="1"/>
  <c r="L9" i="9"/>
  <c r="L8" i="9"/>
  <c r="L7" i="9"/>
  <c r="Q85" i="14"/>
  <c r="Q87" i="14"/>
  <c r="Q86" i="14"/>
  <c r="Q78" i="14"/>
  <c r="Q77" i="14"/>
  <c r="Q72" i="14"/>
  <c r="Q71" i="14"/>
  <c r="Q66" i="14"/>
  <c r="Q65" i="14"/>
  <c r="Q57" i="14"/>
  <c r="Q56" i="14"/>
  <c r="Q51" i="14"/>
  <c r="Q50" i="14"/>
  <c r="Q45" i="14"/>
  <c r="Q44" i="14"/>
  <c r="Q39" i="14"/>
  <c r="Q38" i="14"/>
  <c r="Q30" i="14"/>
  <c r="Q29" i="14"/>
  <c r="Q21" i="14"/>
  <c r="Q20" i="14"/>
  <c r="C12" i="7"/>
  <c r="D13" i="7"/>
  <c r="D14" i="7"/>
  <c r="D15" i="7"/>
  <c r="D16" i="7"/>
  <c r="D17" i="7"/>
  <c r="D18" i="7"/>
  <c r="H7" i="15" l="1"/>
  <c r="H7" i="14"/>
  <c r="E10" i="18"/>
  <c r="E11" i="7"/>
  <c r="D11" i="7"/>
  <c r="I7" i="15"/>
  <c r="I7" i="14"/>
  <c r="C16" i="7"/>
  <c r="C20" i="7"/>
  <c r="K30" i="9"/>
  <c r="K31" i="9"/>
  <c r="K32" i="9"/>
  <c r="K33" i="9"/>
  <c r="K34" i="9"/>
  <c r="K35" i="9"/>
  <c r="K36" i="9"/>
  <c r="K37" i="9"/>
  <c r="K38" i="9"/>
  <c r="K39" i="9"/>
  <c r="K40" i="9"/>
  <c r="K29" i="9"/>
  <c r="L28" i="9"/>
  <c r="K28" i="9"/>
  <c r="B39" i="7"/>
  <c r="C39" i="7"/>
  <c r="B37" i="7"/>
  <c r="C37" i="7"/>
  <c r="D37" i="7"/>
  <c r="E37" i="7"/>
  <c r="B38" i="7"/>
  <c r="C38" i="7"/>
  <c r="D38" i="7"/>
  <c r="E38" i="7"/>
  <c r="B29" i="7"/>
  <c r="C29" i="7"/>
  <c r="B30" i="7"/>
  <c r="C30" i="7"/>
  <c r="B31" i="7"/>
  <c r="C31" i="7"/>
  <c r="B32" i="7"/>
  <c r="C32" i="7"/>
  <c r="D32" i="7"/>
  <c r="E32" i="7"/>
  <c r="B33" i="7"/>
  <c r="C33" i="7"/>
  <c r="D33" i="7"/>
  <c r="E33" i="7"/>
  <c r="B34" i="7"/>
  <c r="C34" i="7"/>
  <c r="D34" i="7"/>
  <c r="E34" i="7"/>
  <c r="B35" i="7"/>
  <c r="C35" i="7"/>
  <c r="D35" i="7"/>
  <c r="E35" i="7"/>
  <c r="B36" i="7"/>
  <c r="C36" i="7"/>
  <c r="D36" i="7"/>
  <c r="E36" i="7"/>
  <c r="C28" i="7"/>
  <c r="B28" i="7"/>
  <c r="L9" i="18"/>
  <c r="L6" i="18"/>
  <c r="K9" i="4"/>
  <c r="L7" i="18"/>
  <c r="L8" i="18"/>
  <c r="F12" i="16"/>
  <c r="F11" i="16"/>
  <c r="F10" i="16"/>
  <c r="F9" i="16"/>
  <c r="F8" i="16"/>
  <c r="F7" i="16"/>
  <c r="F6" i="16"/>
  <c r="Q11" i="9"/>
  <c r="L33" i="9" s="1"/>
  <c r="Q12" i="9"/>
  <c r="Q13" i="9"/>
  <c r="Q14" i="9"/>
  <c r="L36" i="9" s="1"/>
  <c r="Q15" i="9"/>
  <c r="L37" i="9" s="1"/>
  <c r="Q16" i="9"/>
  <c r="L38" i="9" s="1"/>
  <c r="Q17" i="9"/>
  <c r="L39" i="9" s="1"/>
  <c r="Q18" i="9"/>
  <c r="L40" i="9" s="1"/>
  <c r="D10" i="7"/>
  <c r="G38" i="16"/>
  <c r="G23" i="16"/>
  <c r="E32" i="18"/>
  <c r="F32" i="18" s="1"/>
  <c r="D26" i="18"/>
  <c r="D25" i="18"/>
  <c r="E24" i="18"/>
  <c r="D24" i="18"/>
  <c r="D23" i="18"/>
  <c r="D22" i="18"/>
  <c r="D21" i="18"/>
  <c r="F17" i="18"/>
  <c r="D32" i="18"/>
  <c r="D31" i="18"/>
  <c r="D30" i="18"/>
  <c r="D29" i="18"/>
  <c r="D28" i="18"/>
  <c r="F9" i="18"/>
  <c r="I34" i="15"/>
  <c r="J34" i="15"/>
  <c r="K34" i="15"/>
  <c r="L34" i="15"/>
  <c r="M34" i="15"/>
  <c r="N34" i="15"/>
  <c r="O34" i="15"/>
  <c r="P34" i="15"/>
  <c r="I30" i="15"/>
  <c r="J30" i="15"/>
  <c r="K30" i="15"/>
  <c r="L30" i="15"/>
  <c r="M30" i="15"/>
  <c r="N30" i="15"/>
  <c r="O30" i="15"/>
  <c r="P30" i="15"/>
  <c r="I26" i="15"/>
  <c r="J26" i="15"/>
  <c r="K26" i="15"/>
  <c r="L26" i="15"/>
  <c r="M26" i="15"/>
  <c r="N26" i="15"/>
  <c r="O26" i="15"/>
  <c r="P26" i="15"/>
  <c r="I22" i="15"/>
  <c r="J22" i="15"/>
  <c r="K22" i="15"/>
  <c r="L22" i="15"/>
  <c r="M22" i="15"/>
  <c r="N22" i="15"/>
  <c r="O22" i="15"/>
  <c r="P22" i="15"/>
  <c r="I14" i="15"/>
  <c r="J14" i="15"/>
  <c r="K14" i="15"/>
  <c r="L14" i="15"/>
  <c r="M14" i="15"/>
  <c r="N14" i="15"/>
  <c r="O14" i="15"/>
  <c r="P14" i="15"/>
  <c r="I18" i="15"/>
  <c r="J18" i="15"/>
  <c r="K18" i="15"/>
  <c r="L18" i="15"/>
  <c r="M18" i="15"/>
  <c r="N18" i="15"/>
  <c r="O18" i="15"/>
  <c r="P18" i="15"/>
  <c r="H10" i="7"/>
  <c r="H9" i="14"/>
  <c r="N10" i="9"/>
  <c r="I8" i="17"/>
  <c r="I9" i="17"/>
  <c r="I10" i="17"/>
  <c r="I11" i="17"/>
  <c r="I12" i="17"/>
  <c r="I13" i="17"/>
  <c r="I14" i="17"/>
  <c r="I15" i="17"/>
  <c r="I16" i="17"/>
  <c r="I17" i="17"/>
  <c r="I7" i="17"/>
  <c r="I6" i="17"/>
  <c r="F8" i="17"/>
  <c r="F9" i="17"/>
  <c r="F10" i="17"/>
  <c r="F11" i="17"/>
  <c r="F12" i="17"/>
  <c r="F13" i="17"/>
  <c r="F14" i="17"/>
  <c r="F15" i="17"/>
  <c r="F16" i="17"/>
  <c r="F17" i="17"/>
  <c r="F7" i="17"/>
  <c r="F6" i="17"/>
  <c r="C8" i="17"/>
  <c r="C9" i="17"/>
  <c r="C10" i="17"/>
  <c r="C11" i="17"/>
  <c r="C12" i="17"/>
  <c r="C13" i="17"/>
  <c r="C14" i="17"/>
  <c r="C15" i="17"/>
  <c r="C16" i="17"/>
  <c r="C17" i="17"/>
  <c r="C7" i="17"/>
  <c r="C6" i="17"/>
  <c r="F18" i="17"/>
  <c r="G18" i="17"/>
  <c r="H18" i="17"/>
  <c r="I18" i="17"/>
  <c r="J18" i="17"/>
  <c r="K18" i="17"/>
  <c r="K7" i="17"/>
  <c r="K8" i="17"/>
  <c r="K9" i="17"/>
  <c r="K10" i="17"/>
  <c r="K11" i="17"/>
  <c r="K12" i="17"/>
  <c r="K13" i="17"/>
  <c r="K14" i="17"/>
  <c r="K15" i="17"/>
  <c r="K16" i="17"/>
  <c r="K17" i="17"/>
  <c r="H7" i="17"/>
  <c r="H8" i="17"/>
  <c r="H9" i="17"/>
  <c r="H10" i="17"/>
  <c r="H11" i="17"/>
  <c r="H12" i="17"/>
  <c r="H13" i="17"/>
  <c r="H14" i="17"/>
  <c r="H15" i="17"/>
  <c r="H16" i="17"/>
  <c r="H17" i="17"/>
  <c r="E7" i="17"/>
  <c r="E8" i="17"/>
  <c r="E9" i="17"/>
  <c r="E10" i="17"/>
  <c r="E11" i="17"/>
  <c r="E12" i="17"/>
  <c r="E13" i="17"/>
  <c r="E14" i="17"/>
  <c r="E15" i="17"/>
  <c r="E16" i="17"/>
  <c r="E17" i="17"/>
  <c r="H6" i="17"/>
  <c r="E6" i="17"/>
  <c r="D18" i="17"/>
  <c r="E18" i="17" s="1"/>
  <c r="C18" i="17"/>
  <c r="K6" i="17"/>
  <c r="F84" i="14"/>
  <c r="G84" i="14"/>
  <c r="H84" i="14"/>
  <c r="I84" i="14"/>
  <c r="J84" i="14"/>
  <c r="K84" i="14"/>
  <c r="L84" i="14"/>
  <c r="M84" i="14"/>
  <c r="N84" i="14"/>
  <c r="O84" i="14"/>
  <c r="P84" i="14"/>
  <c r="E84" i="14"/>
  <c r="F63" i="14"/>
  <c r="G63" i="14"/>
  <c r="H63" i="14"/>
  <c r="J63" i="14"/>
  <c r="K63" i="14"/>
  <c r="L63" i="14"/>
  <c r="M63" i="14"/>
  <c r="N63" i="14"/>
  <c r="O63" i="14"/>
  <c r="P63" i="14"/>
  <c r="E63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P42" i="14"/>
  <c r="O42" i="14"/>
  <c r="N42" i="14"/>
  <c r="M42" i="14"/>
  <c r="L42" i="14"/>
  <c r="K42" i="14"/>
  <c r="J42" i="14"/>
  <c r="I42" i="14"/>
  <c r="H42" i="14"/>
  <c r="G42" i="14"/>
  <c r="F42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K75" i="14"/>
  <c r="L75" i="14"/>
  <c r="M75" i="14"/>
  <c r="N75" i="14"/>
  <c r="O75" i="14"/>
  <c r="P75" i="14"/>
  <c r="F75" i="14"/>
  <c r="G75" i="14"/>
  <c r="E75" i="14"/>
  <c r="Q67" i="14"/>
  <c r="Q69" i="14" s="1"/>
  <c r="Q83" i="14"/>
  <c r="Q82" i="14"/>
  <c r="Q84" i="14" s="1"/>
  <c r="Q80" i="14"/>
  <c r="Q79" i="14"/>
  <c r="Q81" i="14" s="1"/>
  <c r="Q76" i="14"/>
  <c r="Q74" i="14"/>
  <c r="Q73" i="14"/>
  <c r="Q26" i="14"/>
  <c r="Q25" i="14"/>
  <c r="Q35" i="14"/>
  <c r="Q34" i="14"/>
  <c r="Q36" i="14" s="1"/>
  <c r="Q62" i="14"/>
  <c r="Q61" i="14"/>
  <c r="Q63" i="14" s="1"/>
  <c r="Q59" i="14"/>
  <c r="H19" i="7"/>
  <c r="H11" i="7"/>
  <c r="H12" i="7"/>
  <c r="P10" i="9"/>
  <c r="O9" i="9"/>
  <c r="O8" i="9"/>
  <c r="M9" i="9"/>
  <c r="M8" i="9"/>
  <c r="K9" i="9"/>
  <c r="Q9" i="9" s="1"/>
  <c r="K8" i="9"/>
  <c r="Q8" i="9" s="1"/>
  <c r="K7" i="9"/>
  <c r="Q64" i="14"/>
  <c r="Q58" i="14"/>
  <c r="Q70" i="14"/>
  <c r="Q68" i="14"/>
  <c r="Q12" i="15"/>
  <c r="Q11" i="15"/>
  <c r="Q13" i="15" s="1"/>
  <c r="Q15" i="15"/>
  <c r="Q23" i="15"/>
  <c r="Q24" i="15"/>
  <c r="P9" i="9"/>
  <c r="N9" i="9"/>
  <c r="R9" i="9" s="1"/>
  <c r="E13" i="15"/>
  <c r="P8" i="9"/>
  <c r="N8" i="9"/>
  <c r="R8" i="9"/>
  <c r="E43" i="14"/>
  <c r="E41" i="14"/>
  <c r="E42" i="14" s="1"/>
  <c r="P7" i="9"/>
  <c r="N7" i="9"/>
  <c r="E10" i="4"/>
  <c r="K10" i="4" s="1"/>
  <c r="E11" i="4"/>
  <c r="F28" i="15"/>
  <c r="F32" i="15"/>
  <c r="F12" i="15"/>
  <c r="F20" i="15"/>
  <c r="F24" i="15"/>
  <c r="F16" i="15"/>
  <c r="Q32" i="15"/>
  <c r="Q28" i="15"/>
  <c r="Q20" i="15"/>
  <c r="Q16" i="15"/>
  <c r="G35" i="16"/>
  <c r="G34" i="16"/>
  <c r="G33" i="16"/>
  <c r="G32" i="16"/>
  <c r="G31" i="16"/>
  <c r="G20" i="16"/>
  <c r="G41" i="16"/>
  <c r="G40" i="16"/>
  <c r="G39" i="16"/>
  <c r="G37" i="16"/>
  <c r="G36" i="16"/>
  <c r="G22" i="16"/>
  <c r="G21" i="16"/>
  <c r="P33" i="15"/>
  <c r="O33" i="15"/>
  <c r="N33" i="15"/>
  <c r="M33" i="15"/>
  <c r="L33" i="15"/>
  <c r="K33" i="15"/>
  <c r="J33" i="15"/>
  <c r="I33" i="15"/>
  <c r="H33" i="15"/>
  <c r="G33" i="15"/>
  <c r="F33" i="15"/>
  <c r="E33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F13" i="15"/>
  <c r="G13" i="15"/>
  <c r="H13" i="15"/>
  <c r="I13" i="15"/>
  <c r="J13" i="15"/>
  <c r="K13" i="15"/>
  <c r="L13" i="15"/>
  <c r="M13" i="15"/>
  <c r="N13" i="15"/>
  <c r="O13" i="15"/>
  <c r="P13" i="15"/>
  <c r="F48" i="14"/>
  <c r="G48" i="14"/>
  <c r="H48" i="14"/>
  <c r="I48" i="14"/>
  <c r="J48" i="14"/>
  <c r="K48" i="14"/>
  <c r="L48" i="14"/>
  <c r="M48" i="14"/>
  <c r="N48" i="14"/>
  <c r="O48" i="14"/>
  <c r="P48" i="14"/>
  <c r="Q11" i="14"/>
  <c r="Q10" i="14"/>
  <c r="Q12" i="14" s="1"/>
  <c r="O7" i="9"/>
  <c r="M7" i="9"/>
  <c r="E12" i="14"/>
  <c r="Q22" i="14"/>
  <c r="Q23" i="14"/>
  <c r="Q28" i="14"/>
  <c r="Q31" i="14"/>
  <c r="Q32" i="14"/>
  <c r="Q33" i="14" s="1"/>
  <c r="Q37" i="14"/>
  <c r="Q40" i="14"/>
  <c r="Q41" i="14"/>
  <c r="Q42" i="14" s="1"/>
  <c r="Q43" i="14"/>
  <c r="Q46" i="14"/>
  <c r="Q47" i="14"/>
  <c r="E48" i="14"/>
  <c r="Q49" i="14"/>
  <c r="Q52" i="14"/>
  <c r="Q53" i="14"/>
  <c r="Q54" i="14" s="1"/>
  <c r="Q55" i="14"/>
  <c r="Q16" i="14"/>
  <c r="Q17" i="15"/>
  <c r="Q25" i="15"/>
  <c r="Q19" i="15"/>
  <c r="Q21" i="15" s="1"/>
  <c r="Q27" i="15"/>
  <c r="Q29" i="15" s="1"/>
  <c r="K7" i="15"/>
  <c r="L7" i="15"/>
  <c r="M7" i="15"/>
  <c r="N7" i="15"/>
  <c r="O7" i="15"/>
  <c r="P7" i="15"/>
  <c r="Q31" i="15"/>
  <c r="Q33" i="15" s="1"/>
  <c r="Q17" i="14"/>
  <c r="Q18" i="14" s="1"/>
  <c r="Q19" i="14"/>
  <c r="Q8" i="14"/>
  <c r="P7" i="14"/>
  <c r="P9" i="14" s="1"/>
  <c r="O7" i="14"/>
  <c r="O9" i="14" s="1"/>
  <c r="N7" i="14"/>
  <c r="N9" i="14" s="1"/>
  <c r="M7" i="14"/>
  <c r="M9" i="14" s="1"/>
  <c r="L7" i="14"/>
  <c r="L9" i="14" s="1"/>
  <c r="K7" i="14"/>
  <c r="K9" i="14" s="1"/>
  <c r="J9" i="14"/>
  <c r="I9" i="14"/>
  <c r="F12" i="14"/>
  <c r="G12" i="14"/>
  <c r="H12" i="14"/>
  <c r="I12" i="14"/>
  <c r="J12" i="14"/>
  <c r="K12" i="14"/>
  <c r="L12" i="14"/>
  <c r="M12" i="14"/>
  <c r="N12" i="14"/>
  <c r="O12" i="14"/>
  <c r="P12" i="14"/>
  <c r="J3" i="7"/>
  <c r="E9" i="7" l="1"/>
  <c r="G7" i="15"/>
  <c r="G7" i="14"/>
  <c r="L10" i="18"/>
  <c r="M6" i="18" s="1"/>
  <c r="F10" i="18"/>
  <c r="D31" i="7"/>
  <c r="E31" i="7"/>
  <c r="Q75" i="14"/>
  <c r="M21" i="16"/>
  <c r="L21" i="16"/>
  <c r="M22" i="16"/>
  <c r="L22" i="16"/>
  <c r="M19" i="16"/>
  <c r="L19" i="16"/>
  <c r="M20" i="16"/>
  <c r="L20" i="16"/>
  <c r="M18" i="16"/>
  <c r="M23" i="16"/>
  <c r="L23" i="16"/>
  <c r="L35" i="9"/>
  <c r="L34" i="9"/>
  <c r="S8" i="9"/>
  <c r="E8" i="7"/>
  <c r="F34" i="15" s="1"/>
  <c r="M30" i="9"/>
  <c r="N30" i="9"/>
  <c r="L30" i="9"/>
  <c r="L31" i="9"/>
  <c r="N31" i="9"/>
  <c r="M31" i="9"/>
  <c r="S9" i="9"/>
  <c r="H34" i="15"/>
  <c r="H30" i="15"/>
  <c r="H26" i="15"/>
  <c r="H22" i="15"/>
  <c r="H18" i="15"/>
  <c r="H14" i="15"/>
  <c r="E16" i="4"/>
  <c r="E16" i="18"/>
  <c r="E31" i="18" s="1"/>
  <c r="F31" i="18" s="1"/>
  <c r="H17" i="7"/>
  <c r="E15" i="4"/>
  <c r="E15" i="18"/>
  <c r="E30" i="18" s="1"/>
  <c r="F30" i="18" s="1"/>
  <c r="H16" i="7"/>
  <c r="E14" i="4"/>
  <c r="E14" i="18"/>
  <c r="H15" i="7"/>
  <c r="E13" i="4"/>
  <c r="E13" i="18"/>
  <c r="F13" i="18" s="1"/>
  <c r="H14" i="7"/>
  <c r="E12" i="4"/>
  <c r="E12" i="18"/>
  <c r="H13" i="7"/>
  <c r="Q60" i="14"/>
  <c r="E21" i="18"/>
  <c r="F21" i="18" s="1"/>
  <c r="F6" i="18"/>
  <c r="E22" i="18"/>
  <c r="F22" i="18" s="1"/>
  <c r="F7" i="18"/>
  <c r="E23" i="18"/>
  <c r="F23" i="18" s="1"/>
  <c r="F8" i="18"/>
  <c r="H8" i="18" s="1"/>
  <c r="E25" i="18"/>
  <c r="F25" i="18" s="1"/>
  <c r="E26" i="18"/>
  <c r="F26" i="18" s="1"/>
  <c r="F11" i="18"/>
  <c r="D27" i="18"/>
  <c r="C19" i="18"/>
  <c r="E29" i="18"/>
  <c r="F29" i="18" s="1"/>
  <c r="F14" i="18"/>
  <c r="H17" i="18"/>
  <c r="I17" i="18" s="1"/>
  <c r="G17" i="18"/>
  <c r="F24" i="18"/>
  <c r="Q27" i="14"/>
  <c r="Q24" i="14"/>
  <c r="E7" i="7"/>
  <c r="E9" i="14" s="1"/>
  <c r="Q7" i="9"/>
  <c r="Q48" i="14"/>
  <c r="T7" i="9" l="1"/>
  <c r="T8" i="9" s="1"/>
  <c r="E19" i="18"/>
  <c r="F19" i="18" s="1"/>
  <c r="F16" i="18"/>
  <c r="F22" i="15"/>
  <c r="F18" i="15"/>
  <c r="F26" i="15"/>
  <c r="F9" i="14"/>
  <c r="F30" i="15"/>
  <c r="D8" i="7"/>
  <c r="E29" i="7" s="1"/>
  <c r="F14" i="15"/>
  <c r="M29" i="9"/>
  <c r="N29" i="9"/>
  <c r="L29" i="9"/>
  <c r="S7" i="9"/>
  <c r="F15" i="18"/>
  <c r="G15" i="18" s="1"/>
  <c r="E28" i="18"/>
  <c r="F28" i="18" s="1"/>
  <c r="F12" i="18"/>
  <c r="E27" i="18"/>
  <c r="F27" i="18" s="1"/>
  <c r="H9" i="18"/>
  <c r="I9" i="18" s="1"/>
  <c r="T9" i="9"/>
  <c r="U7" i="9"/>
  <c r="U8" i="9" s="1"/>
  <c r="H16" i="18"/>
  <c r="I16" i="18" s="1"/>
  <c r="G16" i="18"/>
  <c r="H15" i="18"/>
  <c r="I15" i="18" s="1"/>
  <c r="H14" i="18"/>
  <c r="I14" i="18" s="1"/>
  <c r="G14" i="18"/>
  <c r="H13" i="18"/>
  <c r="I13" i="18" s="1"/>
  <c r="G13" i="18"/>
  <c r="H12" i="18"/>
  <c r="I12" i="18" s="1"/>
  <c r="G12" i="18"/>
  <c r="H11" i="18"/>
  <c r="I11" i="18" s="1"/>
  <c r="G11" i="18"/>
  <c r="H10" i="18"/>
  <c r="I10" i="18" s="1"/>
  <c r="G10" i="18"/>
  <c r="I8" i="18"/>
  <c r="H7" i="18"/>
  <c r="I7" i="18" s="1"/>
  <c r="H6" i="18"/>
  <c r="I6" i="18" s="1"/>
  <c r="G6" i="18"/>
  <c r="G7" i="18" s="1"/>
  <c r="G8" i="18" s="1"/>
  <c r="G9" i="18" s="1"/>
  <c r="D7" i="7"/>
  <c r="E6" i="4" s="1"/>
  <c r="K6" i="4" s="1"/>
  <c r="E7" i="4"/>
  <c r="K7" i="4" s="1"/>
  <c r="H8" i="7"/>
  <c r="E14" i="15"/>
  <c r="D29" i="7" l="1"/>
  <c r="E28" i="7"/>
  <c r="D28" i="7"/>
  <c r="H7" i="7"/>
  <c r="E18" i="15"/>
  <c r="E34" i="15"/>
  <c r="E30" i="15"/>
  <c r="E26" i="15"/>
  <c r="E22" i="15"/>
  <c r="D25" i="4"/>
  <c r="D33" i="4" l="1"/>
  <c r="H19" i="9"/>
  <c r="E19" i="9"/>
  <c r="F19" i="9"/>
  <c r="I19" i="9"/>
  <c r="J19" i="9"/>
  <c r="C19" i="9"/>
  <c r="D18" i="9"/>
  <c r="D19" i="9" s="1"/>
  <c r="G18" i="9"/>
  <c r="G19" i="9" s="1"/>
  <c r="H18" i="7" l="1"/>
  <c r="D39" i="7"/>
  <c r="E39" i="7"/>
  <c r="R18" i="9"/>
  <c r="P19" i="9"/>
  <c r="R14" i="9"/>
  <c r="F13" i="4"/>
  <c r="I7" i="7"/>
  <c r="I8" i="7" s="1"/>
  <c r="L19" i="9"/>
  <c r="D9" i="7"/>
  <c r="R15" i="9"/>
  <c r="R16" i="9"/>
  <c r="R17" i="9"/>
  <c r="S15" i="9" l="1"/>
  <c r="M37" i="9"/>
  <c r="N37" i="9"/>
  <c r="S17" i="9"/>
  <c r="N39" i="9"/>
  <c r="M39" i="9"/>
  <c r="S16" i="9"/>
  <c r="M38" i="9"/>
  <c r="N38" i="9"/>
  <c r="S12" i="9"/>
  <c r="N34" i="9"/>
  <c r="M34" i="9"/>
  <c r="S14" i="9"/>
  <c r="M36" i="9"/>
  <c r="N36" i="9"/>
  <c r="S18" i="9"/>
  <c r="N40" i="9"/>
  <c r="M40" i="9"/>
  <c r="S11" i="9"/>
  <c r="N33" i="9"/>
  <c r="M33" i="9"/>
  <c r="D30" i="7"/>
  <c r="E30" i="7"/>
  <c r="H9" i="7"/>
  <c r="D20" i="7"/>
  <c r="E8" i="4"/>
  <c r="K8" i="4" s="1"/>
  <c r="L6" i="4" s="1"/>
  <c r="E20" i="7"/>
  <c r="J7" i="7"/>
  <c r="J8" i="7" s="1"/>
  <c r="T10" i="9"/>
  <c r="T11" i="9" s="1"/>
  <c r="T12" i="9" s="1"/>
  <c r="U9" i="9"/>
  <c r="R13" i="9"/>
  <c r="N19" i="9"/>
  <c r="G20" i="7"/>
  <c r="F20" i="7"/>
  <c r="M35" i="9" l="1"/>
  <c r="N35" i="9"/>
  <c r="R19" i="9"/>
  <c r="S13" i="9"/>
  <c r="U10" i="9"/>
  <c r="U11" i="9" s="1"/>
  <c r="U12" i="9" s="1"/>
  <c r="U13" i="9" s="1"/>
  <c r="U14" i="9" s="1"/>
  <c r="U15" i="9" s="1"/>
  <c r="U16" i="9" s="1"/>
  <c r="U17" i="9" s="1"/>
  <c r="U18" i="9" s="1"/>
  <c r="J23" i="7"/>
  <c r="J25" i="7" s="1"/>
  <c r="J20" i="7"/>
  <c r="H20" i="7"/>
  <c r="Q7" i="15"/>
  <c r="G18" i="15"/>
  <c r="Q18" i="15" s="1"/>
  <c r="G34" i="15"/>
  <c r="Q34" i="15" s="1"/>
  <c r="G30" i="15"/>
  <c r="Q30" i="15" s="1"/>
  <c r="G26" i="15"/>
  <c r="Q26" i="15" s="1"/>
  <c r="G22" i="15"/>
  <c r="Q22" i="15" s="1"/>
  <c r="G14" i="15"/>
  <c r="Q14" i="15" s="1"/>
  <c r="G9" i="14"/>
  <c r="Q7" i="14"/>
  <c r="Q9" i="14" s="1"/>
  <c r="K19" i="9"/>
  <c r="K22" i="9" s="1"/>
  <c r="T13" i="9"/>
  <c r="T14" i="9" s="1"/>
  <c r="T15" i="9" s="1"/>
  <c r="T16" i="9" s="1"/>
  <c r="T17" i="9" s="1"/>
  <c r="T18" i="9" s="1"/>
  <c r="Q22" i="9" s="1"/>
  <c r="Q24" i="9" s="1"/>
  <c r="O19" i="9"/>
  <c r="M19" i="9"/>
  <c r="Q10" i="9"/>
  <c r="L32" i="9" l="1"/>
  <c r="N32" i="9"/>
  <c r="M32" i="9"/>
  <c r="Q19" i="9"/>
  <c r="U19" i="9" s="1"/>
  <c r="S10" i="9"/>
  <c r="O22" i="9"/>
  <c r="O24" i="9" s="1"/>
  <c r="M22" i="9"/>
  <c r="M24" i="9" s="1"/>
  <c r="K24" i="9"/>
  <c r="L16" i="2"/>
  <c r="S19" i="9" l="1"/>
  <c r="E19" i="2"/>
  <c r="E18" i="2" l="1"/>
  <c r="E29" i="2"/>
  <c r="E28" i="2"/>
  <c r="D32" i="4"/>
  <c r="E32" i="4"/>
  <c r="E33" i="4"/>
  <c r="F17" i="4"/>
  <c r="F16" i="4"/>
  <c r="F33" i="4" l="1"/>
  <c r="F32" i="4"/>
  <c r="F11" i="4"/>
  <c r="F12" i="4"/>
  <c r="H12" i="4" l="1"/>
  <c r="I14" i="2" l="1"/>
  <c r="I5" i="2" l="1"/>
  <c r="I6" i="2"/>
  <c r="I7" i="2"/>
  <c r="I8" i="2"/>
  <c r="I9" i="2"/>
  <c r="I10" i="2"/>
  <c r="I11" i="2"/>
  <c r="I12" i="2"/>
  <c r="I13" i="2"/>
  <c r="I4" i="2"/>
  <c r="I3" i="2"/>
  <c r="E31" i="4" l="1"/>
  <c r="D31" i="4"/>
  <c r="F15" i="4"/>
  <c r="E30" i="4"/>
  <c r="D30" i="4"/>
  <c r="F14" i="4"/>
  <c r="E29" i="4"/>
  <c r="D29" i="4"/>
  <c r="E28" i="4"/>
  <c r="D28" i="4"/>
  <c r="E27" i="4"/>
  <c r="D27" i="4"/>
  <c r="D26" i="4"/>
  <c r="E23" i="4"/>
  <c r="E22" i="4"/>
  <c r="H14" i="4" l="1"/>
  <c r="I14" i="4" s="1"/>
  <c r="H17" i="4"/>
  <c r="I17" i="4" s="1"/>
  <c r="H16" i="4"/>
  <c r="I16" i="4" s="1"/>
  <c r="H15" i="4"/>
  <c r="I15" i="4" s="1"/>
  <c r="H11" i="4"/>
  <c r="I11" i="4" s="1"/>
  <c r="F29" i="4"/>
  <c r="F30" i="4"/>
  <c r="F31" i="4"/>
  <c r="F28" i="4"/>
  <c r="H13" i="4"/>
  <c r="I13" i="4" s="1"/>
  <c r="I12" i="4"/>
  <c r="F27" i="4"/>
  <c r="G15" i="4" l="1"/>
  <c r="G16" i="4" s="1"/>
  <c r="G17" i="4" s="1"/>
  <c r="H15" i="2"/>
  <c r="G15" i="2" l="1"/>
  <c r="I15" i="2" l="1"/>
  <c r="L17" i="2"/>
  <c r="E27" i="2"/>
  <c r="E26" i="2"/>
  <c r="E25" i="2"/>
  <c r="E24" i="2"/>
  <c r="E23" i="2"/>
  <c r="E22" i="2"/>
  <c r="E21" i="2"/>
  <c r="E20" i="2"/>
  <c r="F29" i="2" l="1"/>
  <c r="L14" i="2" s="1"/>
  <c r="F18" i="2"/>
  <c r="F28" i="2"/>
  <c r="L13" i="2" s="1"/>
  <c r="H18" i="2"/>
  <c r="F19" i="2"/>
  <c r="L4" i="2" s="1"/>
  <c r="F22" i="2"/>
  <c r="L7" i="2" s="1"/>
  <c r="F24" i="2"/>
  <c r="L9" i="2" s="1"/>
  <c r="F27" i="2"/>
  <c r="L12" i="2" s="1"/>
  <c r="F25" i="2"/>
  <c r="L10" i="2" s="1"/>
  <c r="F23" i="2"/>
  <c r="L8" i="2" s="1"/>
  <c r="F20" i="2"/>
  <c r="F21" i="2"/>
  <c r="L6" i="2" s="1"/>
  <c r="F26" i="2"/>
  <c r="L11" i="2" s="1"/>
  <c r="H20" i="2" l="1"/>
  <c r="L3" i="2"/>
  <c r="G19" i="2"/>
  <c r="H19" i="2"/>
  <c r="I19" i="2" s="1"/>
  <c r="L5" i="2"/>
  <c r="I20" i="2"/>
  <c r="H29" i="2"/>
  <c r="I29" i="2" s="1"/>
  <c r="H26" i="2"/>
  <c r="I26" i="2" s="1"/>
  <c r="H23" i="2"/>
  <c r="I23" i="2" s="1"/>
  <c r="H22" i="2"/>
  <c r="I22" i="2" s="1"/>
  <c r="H25" i="2"/>
  <c r="I25" i="2" s="1"/>
  <c r="H21" i="2"/>
  <c r="I21" i="2" s="1"/>
  <c r="H28" i="2"/>
  <c r="I28" i="2" s="1"/>
  <c r="H27" i="2"/>
  <c r="I27" i="2" s="1"/>
  <c r="H24" i="2"/>
  <c r="I24" i="2" s="1"/>
  <c r="G18" i="2"/>
  <c r="I18" i="2"/>
  <c r="G20" i="2" l="1"/>
  <c r="G21" i="2" s="1"/>
  <c r="G22" i="2" s="1"/>
  <c r="G23" i="2" s="1"/>
  <c r="G24" i="2" s="1"/>
  <c r="G25" i="2" s="1"/>
  <c r="G26" i="2" s="1"/>
  <c r="G27" i="2" s="1"/>
  <c r="G28" i="2" s="1"/>
  <c r="G29" i="2" s="1"/>
  <c r="G11" i="4"/>
  <c r="G12" i="4"/>
  <c r="G13" i="4"/>
  <c r="G14" i="4"/>
  <c r="I9" i="7"/>
  <c r="J9" i="7"/>
  <c r="E24" i="4" l="1"/>
  <c r="J10" i="7"/>
  <c r="J11" i="7" s="1"/>
  <c r="J12" i="7" s="1"/>
  <c r="J13" i="7" s="1"/>
  <c r="J14" i="7" s="1"/>
  <c r="J15" i="7" s="1"/>
  <c r="J16" i="7" s="1"/>
  <c r="J17" i="7" s="1"/>
  <c r="J18" i="7" s="1"/>
  <c r="I10" i="7"/>
  <c r="I11" i="7" s="1"/>
  <c r="I12" i="7" s="1"/>
  <c r="I13" i="7" s="1"/>
  <c r="I14" i="7" s="1"/>
  <c r="I15" i="7" s="1"/>
  <c r="I16" i="7" s="1"/>
  <c r="I17" i="7" s="1"/>
  <c r="I18" i="7" s="1"/>
  <c r="F9" i="4" l="1"/>
  <c r="E25" i="4"/>
  <c r="F25" i="4" s="1"/>
  <c r="E20" i="4"/>
  <c r="E26" i="4"/>
  <c r="F26" i="4" s="1"/>
  <c r="F10" i="4"/>
  <c r="C20" i="4" l="1"/>
  <c r="F20" i="4" s="1"/>
  <c r="D22" i="4"/>
  <c r="F22" i="4"/>
  <c r="D24" i="4"/>
  <c r="F24" i="4" s="1"/>
  <c r="D23" i="4"/>
  <c r="F23" i="4" s="1"/>
  <c r="F6" i="4"/>
  <c r="G6" i="4" s="1"/>
  <c r="F7" i="4"/>
  <c r="H7" i="4" s="1"/>
  <c r="I7" i="4" s="1"/>
  <c r="F8" i="4"/>
  <c r="H8" i="4" l="1"/>
  <c r="I8" i="4" s="1"/>
  <c r="H10" i="4"/>
  <c r="I10" i="4" s="1"/>
  <c r="G7" i="4"/>
  <c r="G8" i="4" s="1"/>
  <c r="G9" i="4" s="1"/>
  <c r="G10" i="4" s="1"/>
  <c r="H6" i="4"/>
  <c r="I6" i="4" s="1"/>
  <c r="H9" i="4"/>
  <c r="I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Rian Fardin</author>
  </authors>
  <commentList>
    <comment ref="C5" authorId="0" shapeId="0" xr:uid="{EF67118D-80DB-4AF6-ABB1-C8B08225A1E1}">
      <text>
        <r>
          <rPr>
            <sz val="11"/>
            <color theme="1"/>
            <rFont val="Calibri"/>
            <family val="2"/>
            <scheme val="minor"/>
          </rPr>
          <t>Rian Fardin:
Desconsiderado venda Wilson s/NF devido a termos os dados apenas em dezembro/ janeiro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Rian Fardin</author>
    <author>tc={5F3C6CE6-33D8-4088-ADB7-73B280547E45}</author>
    <author>Karla Bruna</author>
  </authors>
  <commentList>
    <comment ref="C9" authorId="0" shapeId="0" xr:uid="{902FA8F5-1614-4A0A-B261-204F4CA57F00}">
      <text>
        <r>
          <rPr>
            <sz val="11"/>
            <color theme="1"/>
            <rFont val="Calibri"/>
            <family val="2"/>
            <scheme val="minor"/>
          </rPr>
          <t>Rian Fardin:
O que é:
Faturamento ÷ Número de pedidos.
O que mostra:
Eficiência da venda.
Leitura prática:
Ticket ↑ = melhor argumentação, mix e negociação.</t>
        </r>
      </text>
    </comment>
    <comment ref="C12" authorId="0" shapeId="0" xr:uid="{69575256-BE69-4343-9307-CFD8B98DFC38}">
      <text>
        <r>
          <rPr>
            <sz val="11"/>
            <color theme="1"/>
            <rFont val="Calibri"/>
            <family val="2"/>
            <scheme val="minor"/>
          </rPr>
          <t>Rian Fardin:
O que é:
Percentual de clientes que compram novamente.
O que mostra:
Satisfação, qualidade e relacionamento.
Leitura estratégica:
Vender para quem já compra é mais barato do que conquistar novos.</t>
        </r>
      </text>
    </comment>
    <comment ref="I20" authorId="1" shapeId="0" xr:uid="{5F3C6CE6-33D8-4088-ADB7-73B280547E45}">
      <text>
        <t>[Threaded comment]
Your version of Excel allows you to read this threaded comment; however, any edits to it will get removed if the file is opened in a newer version of Excel. Learn more: https://go.microsoft.com/fwlink/?linkid=870924
Comment:
    78 fardin
28 sul</t>
      </text>
    </comment>
    <comment ref="E41" authorId="2" shapeId="0" xr:uid="{C94F1794-8A48-4829-AB6B-798A8B554CE0}">
      <text>
        <r>
          <rPr>
            <sz val="11"/>
            <color theme="1"/>
            <rFont val="Calibri"/>
            <family val="2"/>
            <scheme val="minor"/>
          </rPr>
          <t xml:space="preserve">Karla Bruna:
+bh cachoeiro
</t>
        </r>
      </text>
    </comment>
    <comment ref="E43" authorId="2" shapeId="0" xr:uid="{DEC466E4-8846-41E7-9ECC-51D735F4330A}">
      <text>
        <r>
          <rPr>
            <sz val="11"/>
            <color theme="1"/>
            <rFont val="Calibri"/>
            <family val="2"/>
            <scheme val="minor"/>
          </rPr>
          <t xml:space="preserve">Karla Bruna:
+bh cachoeiro
</t>
        </r>
      </text>
    </comment>
  </commentList>
</comments>
</file>

<file path=xl/sharedStrings.xml><?xml version="1.0" encoding="utf-8"?>
<sst xmlns="http://schemas.openxmlformats.org/spreadsheetml/2006/main" count="510" uniqueCount="179">
  <si>
    <t xml:space="preserve">
Planejamento de Vendas Por Trimestre</t>
  </si>
  <si>
    <t xml:space="preserve"> Gap </t>
  </si>
  <si>
    <t>Canal</t>
  </si>
  <si>
    <t>Trimentre</t>
  </si>
  <si>
    <t>% de Faturamento</t>
  </si>
  <si>
    <t>Faturamento</t>
  </si>
  <si>
    <t>Média Mês</t>
  </si>
  <si>
    <t>Faturamento 2026</t>
  </si>
  <si>
    <t xml:space="preserve"> R$ </t>
  </si>
  <si>
    <t xml:space="preserve"> %  </t>
  </si>
  <si>
    <t>Fardin</t>
  </si>
  <si>
    <t>1º</t>
  </si>
  <si>
    <t>2º</t>
  </si>
  <si>
    <t>3º</t>
  </si>
  <si>
    <t> </t>
  </si>
  <si>
    <t>4º</t>
  </si>
  <si>
    <t>Privaty e Terceiros</t>
  </si>
  <si>
    <t>Meta por Família</t>
  </si>
  <si>
    <t>Copinho</t>
  </si>
  <si>
    <t>Mariola Zero</t>
  </si>
  <si>
    <t>Mariola</t>
  </si>
  <si>
    <t>Mariola Cristalizada</t>
  </si>
  <si>
    <t>Goiabada</t>
  </si>
  <si>
    <t>Gominha</t>
  </si>
  <si>
    <t>Gap</t>
  </si>
  <si>
    <t>Trimestre</t>
  </si>
  <si>
    <t>Família</t>
  </si>
  <si>
    <t>% Tri.</t>
  </si>
  <si>
    <t>Total Desejado R$</t>
  </si>
  <si>
    <t>Total Alcançado R$</t>
  </si>
  <si>
    <t>R$</t>
  </si>
  <si>
    <t xml:space="preserve">% </t>
  </si>
  <si>
    <t>Avaliação de Desempenho da Evolução de Vendas GLOBAL 2026</t>
  </si>
  <si>
    <t>Período Base</t>
  </si>
  <si>
    <t>Realizado</t>
  </si>
  <si>
    <t>Meses</t>
  </si>
  <si>
    <t>R$ Vendas</t>
  </si>
  <si>
    <t>Evolução de Vendas</t>
  </si>
  <si>
    <t>Ganho (R$)</t>
  </si>
  <si>
    <t>Acumulado</t>
  </si>
  <si>
    <t>Média Mensal</t>
  </si>
  <si>
    <t>Anualizado</t>
  </si>
  <si>
    <t>% de Crescimento 25x26</t>
  </si>
  <si>
    <t>Média de Crescimento</t>
  </si>
  <si>
    <t>Wilson s/ NF 2025</t>
  </si>
  <si>
    <t>xx</t>
  </si>
  <si>
    <t>Base</t>
  </si>
  <si>
    <t>Real</t>
  </si>
  <si>
    <t>Evolução</t>
  </si>
  <si>
    <t>Meta X Real de Vendas</t>
  </si>
  <si>
    <t>Desafio:</t>
  </si>
  <si>
    <t>Meta:</t>
  </si>
  <si>
    <t>Data</t>
  </si>
  <si>
    <t xml:space="preserve">Meta </t>
  </si>
  <si>
    <t>Total</t>
  </si>
  <si>
    <t>Por Categoria de Vendas</t>
  </si>
  <si>
    <t>% de Atingimento</t>
  </si>
  <si>
    <t>Venda Acumulada</t>
  </si>
  <si>
    <t>Falta da Meta</t>
  </si>
  <si>
    <t>Privaty Label</t>
  </si>
  <si>
    <t>Terceiros</t>
  </si>
  <si>
    <t>Janeiro</t>
  </si>
  <si>
    <t xml:space="preserve">Fevereiro 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</si>
  <si>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</si>
  <si>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</si>
  <si>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</si>
  <si>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</si>
  <si>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</si>
  <si>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</si>
  <si>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</si>
  <si>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</si>
  <si>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</si>
  <si>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</si>
  <si>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Wilson S/ NF</t>
  </si>
  <si>
    <t>Meta vs Real</t>
  </si>
  <si>
    <t>Falta para a Meta</t>
  </si>
  <si>
    <t>Atingimento da Meta</t>
  </si>
  <si>
    <t>Meta</t>
  </si>
  <si>
    <t>Verde</t>
  </si>
  <si>
    <t>Vermelho</t>
  </si>
  <si>
    <t>Avaliação de Desempenho da Evolução de Vendas FARDIN 2026</t>
  </si>
  <si>
    <t>Meta X Real de Vendas Categoria Fardin</t>
  </si>
  <si>
    <t>AIRTON</t>
  </si>
  <si>
    <t>SIMONY</t>
  </si>
  <si>
    <t>ALEXANDRE</t>
  </si>
  <si>
    <t>CAPELINE</t>
  </si>
  <si>
    <t>JULIANO</t>
  </si>
  <si>
    <t>ROBSON</t>
  </si>
  <si>
    <t>WALLACE</t>
  </si>
  <si>
    <t>ANA</t>
  </si>
  <si>
    <t>Representantes</t>
  </si>
  <si>
    <t>Doces Fardin</t>
  </si>
  <si>
    <t>Wilson</t>
  </si>
  <si>
    <t>TOTAL</t>
  </si>
  <si>
    <t>Fevereiro</t>
  </si>
  <si>
    <t>Histórico de Vendas e Faturamento FARDIN 2026</t>
  </si>
  <si>
    <t>FATURAMENTO GERAL</t>
  </si>
  <si>
    <t>Indicador</t>
  </si>
  <si>
    <t>Jan</t>
  </si>
  <si>
    <t>Fev</t>
  </si>
  <si>
    <t>Mar</t>
  </si>
  <si>
    <t>Abri</t>
  </si>
  <si>
    <t>Mai</t>
  </si>
  <si>
    <t>Jun</t>
  </si>
  <si>
    <t>Jul</t>
  </si>
  <si>
    <t>Ago</t>
  </si>
  <si>
    <t>Set</t>
  </si>
  <si>
    <t>Out</t>
  </si>
  <si>
    <t>Nov</t>
  </si>
  <si>
    <t>Dez</t>
  </si>
  <si>
    <t>Total Anual</t>
  </si>
  <si>
    <t>FATURAMENTO POR FAMÍLIA</t>
  </si>
  <si>
    <t>Representante</t>
  </si>
  <si>
    <t>% de Participação</t>
  </si>
  <si>
    <t>Nº De Vendas</t>
  </si>
  <si>
    <t>Ticket Médio</t>
  </si>
  <si>
    <t>Nº Clientes Carteira</t>
  </si>
  <si>
    <t>Nº Clientes Compra</t>
  </si>
  <si>
    <t>Taxa de Recompra</t>
  </si>
  <si>
    <t>FATURAMENTO POR REPRESENTANTE</t>
  </si>
  <si>
    <t>Meta Venda (PV)</t>
  </si>
  <si>
    <t>Venda (PV)</t>
  </si>
  <si>
    <t>Atingimento</t>
  </si>
  <si>
    <t>Faturamento (NF)</t>
  </si>
  <si>
    <t xml:space="preserve">Nº Clientes Carteira	</t>
  </si>
  <si>
    <t>Meta Clientes Novos</t>
  </si>
  <si>
    <t>Efetivado Clientes Novos</t>
  </si>
  <si>
    <t xml:space="preserve">Ana </t>
  </si>
  <si>
    <t>Capelini</t>
  </si>
  <si>
    <t>Juliano</t>
  </si>
  <si>
    <t>Simone</t>
  </si>
  <si>
    <t>Reginaldo</t>
  </si>
  <si>
    <t>Davi</t>
  </si>
  <si>
    <t>Airton</t>
  </si>
  <si>
    <t>Sérgio</t>
  </si>
  <si>
    <t>Orçamento Comercial</t>
  </si>
  <si>
    <t>Viagens</t>
  </si>
  <si>
    <t>Ponto de Venda</t>
  </si>
  <si>
    <t>Eventos</t>
  </si>
  <si>
    <t>Planejado</t>
  </si>
  <si>
    <t>%</t>
  </si>
  <si>
    <t>CALENDÁRIO DE EVENTOS COMERCIAIS</t>
  </si>
  <si>
    <t>JANEIRO</t>
  </si>
  <si>
    <t>FEVEREIRO</t>
  </si>
  <si>
    <t>MARÇO</t>
  </si>
  <si>
    <t>ABRIL</t>
  </si>
  <si>
    <t>do</t>
  </si>
  <si>
    <t>se</t>
  </si>
  <si>
    <t>te</t>
  </si>
  <si>
    <t>qu</t>
  </si>
  <si>
    <t>sá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</si>
  <si>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</si>
  <si>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</si>
  <si>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</si>
  <si>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</si>
  <si>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</si>
  <si>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</si>
  <si>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</si>
  <si>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</si>
  <si>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Dias das Crianças</t>
  </si>
  <si>
    <t>Inverno (Início/ Fim)</t>
  </si>
  <si>
    <t>*Pontos Importantes para Olhar</t>
  </si>
  <si>
    <t>Cosme e Damião</t>
  </si>
  <si>
    <t>Feiras Anuais</t>
  </si>
  <si>
    <t>Feriado</t>
  </si>
  <si>
    <t>Festa Junina</t>
  </si>
  <si>
    <t>Feriados Nacionais</t>
  </si>
  <si>
    <t>Eleição</t>
  </si>
  <si>
    <t>Volta as aulas</t>
  </si>
  <si>
    <t>Férias Gerais</t>
  </si>
  <si>
    <t>Halloween</t>
  </si>
  <si>
    <t>Painel de Gestão Comercial 2025</t>
  </si>
  <si>
    <t xml:space="preserve">
Avaliação de Desempenho
Faturamento per Capita</t>
  </si>
  <si>
    <t>Qtd de Funcionários</t>
  </si>
  <si>
    <t>R$ per capita</t>
  </si>
  <si>
    <t>Gráfico</t>
  </si>
  <si>
    <t>Média</t>
  </si>
  <si>
    <t>R$ per Capita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</si>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</sst>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\-yy;@"/>
    <numFmt numFmtId="165" formatCode="#,##0.00_ ;[Red]\-#,##0.00\ "/>
    <numFmt numFmtId="166" formatCode="#,##0.0_ ;[Red]\-#,##0.0\ "/>
    <numFmt numFmtId="167" formatCode="dd/mm/yy"/>
    <numFmt numFmtId="168" formatCode="_-[$R$-416]\ * #,##0.00_-;\-[$R$-416]\ * #,##0.00_-;_-[$R$-416]\ * &quot;-&quot;??_-;_-@_-"/>
    <numFmt numFmtId="169" formatCode="d"/>
    <numFmt numFmtId="170" formatCode="[$R$ -416]#,##0.00"/>
    <numFmt numFmtId="171" formatCode="0.0%"/>
    <numFmt numFmtId="172" formatCode="0.0000000%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9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5"/>
      <name val="Calibri"/>
      <family val="2"/>
      <scheme val="minor"/>
    </font>
    <font>
      <sz val="10"/>
      <name val="Arial"/>
      <family val="2"/>
    </font>
    <font>
      <sz val="7"/>
      <color theme="0"/>
      <name val="Calibri"/>
      <family val="2"/>
      <scheme val="minor"/>
    </font>
    <font>
      <sz val="7"/>
      <name val="Calibri"/>
      <family val="2"/>
      <scheme val="minor"/>
    </font>
    <font>
      <sz val="7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Arial"/>
      <family val="2"/>
    </font>
    <font>
      <sz val="11"/>
      <color rgb="FF262626"/>
      <name val="Euphemia"/>
    </font>
    <font>
      <b/>
      <sz val="14"/>
      <color theme="1"/>
      <name val="Calibri"/>
    </font>
    <font>
      <sz val="11"/>
      <color theme="1"/>
      <name val="Euphemia"/>
    </font>
    <font>
      <b/>
      <sz val="28"/>
      <color rgb="FF873624"/>
      <name val="Century Gothic"/>
    </font>
    <font>
      <b/>
      <sz val="12"/>
      <color rgb="FF65281B"/>
      <name val="Century Gothic"/>
    </font>
    <font>
      <b/>
      <sz val="11"/>
      <color rgb="FF873624"/>
      <name val="Century Gothic"/>
    </font>
    <font>
      <sz val="11"/>
      <color theme="1"/>
      <name val="Calibri"/>
    </font>
    <font>
      <sz val="11"/>
      <color rgb="FFBFBFBF"/>
      <name val="Euphemia"/>
    </font>
    <font>
      <sz val="11"/>
      <color rgb="FF000000"/>
      <name val="Euphemia"/>
    </font>
    <font>
      <b/>
      <sz val="12"/>
      <color theme="1"/>
      <name val="Calibri"/>
    </font>
    <font>
      <sz val="12"/>
      <color theme="1"/>
      <name val="Calibri"/>
    </font>
    <font>
      <sz val="12"/>
      <name val="Calibri"/>
    </font>
    <font>
      <b/>
      <sz val="18"/>
      <color theme="1"/>
      <name val="Calibri"/>
    </font>
    <font>
      <b/>
      <sz val="20"/>
      <color theme="1"/>
      <name val="Calibri"/>
    </font>
    <font>
      <b/>
      <sz val="12"/>
      <name val="Calibri"/>
    </font>
    <font>
      <b/>
      <sz val="28"/>
      <color theme="1"/>
      <name val="Calibri"/>
    </font>
    <font>
      <b/>
      <sz val="18"/>
      <color rgb="FF000000"/>
      <name val="Calibri"/>
    </font>
    <font>
      <b/>
      <sz val="11"/>
      <color theme="1"/>
      <name val="Calibri"/>
    </font>
    <font>
      <sz val="18"/>
      <color theme="1"/>
      <name val="Calibri"/>
      <family val="2"/>
      <scheme val="minor"/>
    </font>
    <font>
      <b/>
      <sz val="12"/>
      <color rgb="FF873624"/>
      <name val="Century Gothic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06">
    <border>
      <left/>
      <right/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/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5281B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hair">
        <color auto="1"/>
      </right>
      <top style="medium">
        <color rgb="FF000000"/>
      </top>
      <bottom/>
      <diagonal/>
    </border>
    <border>
      <left style="hair">
        <color auto="1"/>
      </left>
      <right style="hair">
        <color auto="1"/>
      </right>
      <top style="medium">
        <color rgb="FF000000"/>
      </top>
      <bottom/>
      <diagonal/>
    </border>
    <border>
      <left style="hair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hair">
        <color auto="1"/>
      </right>
      <top/>
      <bottom style="hair">
        <color auto="1"/>
      </bottom>
      <diagonal/>
    </border>
    <border>
      <left/>
      <right style="medium">
        <color rgb="FF000000"/>
      </right>
      <top style="thin">
        <color auto="1"/>
      </top>
      <bottom style="hair">
        <color auto="1"/>
      </bottom>
      <diagonal/>
    </border>
    <border>
      <left style="medium">
        <color rgb="FF000000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medium">
        <color rgb="FF000000"/>
      </right>
      <top style="hair">
        <color auto="1"/>
      </top>
      <bottom style="thin">
        <color indexed="64"/>
      </bottom>
      <diagonal/>
    </border>
    <border>
      <left style="medium">
        <color rgb="FF000000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medium">
        <color rgb="FF000000"/>
      </right>
      <top/>
      <bottom style="hair">
        <color auto="1"/>
      </bottom>
      <diagonal/>
    </border>
    <border>
      <left style="hair">
        <color auto="1"/>
      </left>
      <right style="medium">
        <color rgb="FF000000"/>
      </right>
      <top style="hair">
        <color auto="1"/>
      </top>
      <bottom style="hair">
        <color auto="1"/>
      </bottom>
      <diagonal/>
    </border>
    <border>
      <left style="medium">
        <color rgb="FF000000"/>
      </left>
      <right style="hair">
        <color auto="1"/>
      </right>
      <top/>
      <bottom style="medium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rgb="FF000000"/>
      </bottom>
      <diagonal/>
    </border>
    <border>
      <left style="thin">
        <color auto="1"/>
      </left>
      <right style="hair">
        <color auto="1"/>
      </right>
      <top/>
      <bottom style="medium">
        <color rgb="FF000000"/>
      </bottom>
      <diagonal/>
    </border>
    <border>
      <left style="hair">
        <color auto="1"/>
      </left>
      <right style="medium">
        <color rgb="FF000000"/>
      </right>
      <top style="hair">
        <color auto="1"/>
      </top>
      <bottom style="medium">
        <color rgb="FF000000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auto="1"/>
      </right>
      <top/>
      <bottom style="hair">
        <color auto="1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rgb="FF000000"/>
      </right>
      <top/>
      <bottom/>
      <diagonal/>
    </border>
    <border>
      <left style="hair">
        <color auto="1"/>
      </left>
      <right style="thin">
        <color rgb="FF000000"/>
      </right>
      <top/>
      <bottom style="hair">
        <color auto="1"/>
      </bottom>
      <diagonal/>
    </border>
    <border>
      <left style="thin">
        <color rgb="FF000000"/>
      </left>
      <right style="hair">
        <color auto="1"/>
      </right>
      <top style="thin">
        <color rgb="FF000000"/>
      </top>
      <bottom style="medium">
        <color rgb="FF000000"/>
      </bottom>
      <diagonal/>
    </border>
    <border>
      <left style="hair">
        <color auto="1"/>
      </left>
      <right/>
      <top style="thin">
        <color rgb="FF000000"/>
      </top>
      <bottom style="medium">
        <color rgb="FF000000"/>
      </bottom>
      <diagonal/>
    </border>
    <border>
      <left style="hair">
        <color auto="1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rgb="FF000000"/>
      </right>
      <top style="hair">
        <color auto="1"/>
      </top>
      <bottom/>
      <diagonal/>
    </border>
    <border>
      <left style="medium">
        <color rgb="FF000000"/>
      </left>
      <right style="hair">
        <color auto="1"/>
      </right>
      <top style="thin">
        <color rgb="FF000000"/>
      </top>
      <bottom style="medium">
        <color rgb="FF000000"/>
      </bottom>
      <diagonal/>
    </border>
    <border>
      <left style="hair">
        <color auto="1"/>
      </left>
      <right style="hair">
        <color auto="1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hair">
        <color auto="1"/>
      </right>
      <top style="thin">
        <color rgb="FF000000"/>
      </top>
      <bottom style="medium">
        <color rgb="FF000000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auto="1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auto="1"/>
      </right>
      <top/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9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 vertical="center"/>
    </xf>
    <xf numFmtId="165" fontId="0" fillId="0" borderId="22" xfId="1" applyNumberFormat="1" applyFont="1" applyFill="1" applyBorder="1" applyAlignment="1">
      <alignment horizontal="center" vertical="center"/>
    </xf>
    <xf numFmtId="166" fontId="3" fillId="0" borderId="22" xfId="1" applyNumberFormat="1" applyFont="1" applyFill="1" applyBorder="1" applyAlignment="1">
      <alignment horizontal="center" vertical="center"/>
    </xf>
    <xf numFmtId="165" fontId="0" fillId="0" borderId="23" xfId="1" applyNumberFormat="1" applyFont="1" applyFill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5" fontId="0" fillId="0" borderId="24" xfId="1" applyNumberFormat="1" applyFont="1" applyFill="1" applyBorder="1" applyAlignment="1">
      <alignment horizontal="center" vertical="center"/>
    </xf>
    <xf numFmtId="166" fontId="3" fillId="0" borderId="24" xfId="1" applyNumberFormat="1" applyFont="1" applyFill="1" applyBorder="1" applyAlignment="1">
      <alignment horizontal="center" vertical="center"/>
    </xf>
    <xf numFmtId="165" fontId="0" fillId="0" borderId="25" xfId="1" applyNumberFormat="1" applyFont="1" applyFill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5" fontId="3" fillId="0" borderId="22" xfId="1" applyNumberFormat="1" applyFont="1" applyFill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165" fontId="0" fillId="0" borderId="37" xfId="0" applyNumberFormat="1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165" fontId="0" fillId="0" borderId="40" xfId="0" applyNumberFormat="1" applyBorder="1" applyAlignment="1">
      <alignment horizontal="center" vertical="center"/>
    </xf>
    <xf numFmtId="165" fontId="0" fillId="0" borderId="40" xfId="1" applyNumberFormat="1" applyFont="1" applyFill="1" applyBorder="1" applyAlignment="1">
      <alignment horizontal="center" vertical="center"/>
    </xf>
    <xf numFmtId="165" fontId="0" fillId="0" borderId="41" xfId="0" applyNumberForma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165" fontId="2" fillId="0" borderId="29" xfId="1" applyNumberFormat="1" applyFont="1" applyFill="1" applyBorder="1" applyAlignment="1">
      <alignment horizontal="center" vertical="center"/>
    </xf>
    <xf numFmtId="166" fontId="6" fillId="0" borderId="29" xfId="1" applyNumberFormat="1" applyFont="1" applyFill="1" applyBorder="1" applyAlignment="1">
      <alignment horizontal="center" vertical="center"/>
    </xf>
    <xf numFmtId="165" fontId="2" fillId="0" borderId="3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166" fontId="3" fillId="2" borderId="22" xfId="1" applyNumberFormat="1" applyFont="1" applyFill="1" applyBorder="1" applyAlignment="1">
      <alignment horizontal="center" vertical="center"/>
    </xf>
    <xf numFmtId="166" fontId="3" fillId="2" borderId="24" xfId="1" applyNumberFormat="1" applyFont="1" applyFill="1" applyBorder="1" applyAlignment="1">
      <alignment horizontal="center" vertical="center"/>
    </xf>
    <xf numFmtId="165" fontId="0" fillId="0" borderId="21" xfId="1" applyNumberFormat="1" applyFont="1" applyFill="1" applyBorder="1" applyAlignment="1">
      <alignment horizontal="center" vertical="center"/>
    </xf>
    <xf numFmtId="165" fontId="3" fillId="0" borderId="21" xfId="1" applyNumberFormat="1" applyFont="1" applyFill="1" applyBorder="1" applyAlignment="1">
      <alignment horizontal="center" vertical="center"/>
    </xf>
    <xf numFmtId="4" fontId="11" fillId="0" borderId="0" xfId="0" applyNumberFormat="1" applyFont="1" applyAlignment="1">
      <alignment horizontal="center" vertical="center" wrapText="1"/>
    </xf>
    <xf numFmtId="9" fontId="11" fillId="0" borderId="0" xfId="4" applyFont="1" applyFill="1" applyAlignment="1">
      <alignment horizontal="center" vertical="center" wrapText="1"/>
    </xf>
    <xf numFmtId="166" fontId="3" fillId="2" borderId="40" xfId="1" applyNumberFormat="1" applyFont="1" applyFill="1" applyBorder="1" applyAlignment="1">
      <alignment horizontal="center" vertical="center"/>
    </xf>
    <xf numFmtId="165" fontId="0" fillId="0" borderId="49" xfId="0" applyNumberFormat="1" applyBorder="1" applyAlignment="1">
      <alignment horizontal="center" vertical="center"/>
    </xf>
    <xf numFmtId="4" fontId="12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9" fontId="13" fillId="0" borderId="50" xfId="4" applyFont="1" applyFill="1" applyBorder="1" applyAlignment="1">
      <alignment horizontal="center" vertical="center" wrapText="1"/>
    </xf>
    <xf numFmtId="167" fontId="0" fillId="0" borderId="38" xfId="0" applyNumberFormat="1" applyBorder="1" applyAlignment="1">
      <alignment horizontal="center" vertical="center" wrapText="1"/>
    </xf>
    <xf numFmtId="40" fontId="2" fillId="0" borderId="58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65" fontId="0" fillId="0" borderId="0" xfId="0" applyNumberFormat="1" applyAlignment="1">
      <alignment horizontal="center" vertical="center"/>
    </xf>
    <xf numFmtId="10" fontId="0" fillId="0" borderId="0" xfId="4" applyNumberFormat="1" applyFont="1" applyAlignment="1">
      <alignment horizontal="center" vertical="center"/>
    </xf>
    <xf numFmtId="43" fontId="0" fillId="0" borderId="0" xfId="1" applyFont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164" fontId="0" fillId="0" borderId="62" xfId="0" applyNumberFormat="1" applyBorder="1" applyAlignment="1">
      <alignment horizontal="center" vertical="center"/>
    </xf>
    <xf numFmtId="0" fontId="2" fillId="0" borderId="63" xfId="0" applyFont="1" applyBorder="1" applyAlignment="1">
      <alignment horizontal="right" vertical="center" wrapText="1"/>
    </xf>
    <xf numFmtId="40" fontId="2" fillId="0" borderId="64" xfId="1" applyNumberFormat="1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168" fontId="2" fillId="0" borderId="0" xfId="1" applyNumberFormat="1" applyFont="1" applyFill="1" applyBorder="1" applyAlignment="1">
      <alignment horizontal="center" vertical="center" wrapText="1"/>
    </xf>
    <xf numFmtId="0" fontId="2" fillId="0" borderId="60" xfId="0" applyFont="1" applyBorder="1" applyAlignment="1">
      <alignment horizontal="right" vertical="center" wrapText="1"/>
    </xf>
    <xf numFmtId="40" fontId="2" fillId="0" borderId="71" xfId="1" applyNumberFormat="1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right" vertical="center" wrapText="1"/>
    </xf>
    <xf numFmtId="167" fontId="0" fillId="0" borderId="75" xfId="0" applyNumberFormat="1" applyBorder="1" applyAlignment="1">
      <alignment horizontal="center" vertical="center" wrapText="1"/>
    </xf>
    <xf numFmtId="0" fontId="5" fillId="0" borderId="51" xfId="0" applyFont="1" applyBorder="1" applyAlignment="1">
      <alignment vertical="center" wrapText="1"/>
    </xf>
    <xf numFmtId="0" fontId="5" fillId="0" borderId="51" xfId="0" applyFont="1" applyBorder="1" applyAlignment="1">
      <alignment horizontal="left" vertical="center" wrapText="1"/>
    </xf>
    <xf numFmtId="44" fontId="0" fillId="0" borderId="66" xfId="5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3" borderId="0" xfId="0" applyFont="1" applyFill="1"/>
    <xf numFmtId="0" fontId="23" fillId="0" borderId="0" xfId="0" applyFont="1"/>
    <xf numFmtId="0" fontId="24" fillId="0" borderId="0" xfId="0" applyFont="1"/>
    <xf numFmtId="0" fontId="17" fillId="0" borderId="0" xfId="0" applyFont="1"/>
    <xf numFmtId="169" fontId="19" fillId="0" borderId="0" xfId="0" applyNumberFormat="1" applyFont="1"/>
    <xf numFmtId="0" fontId="23" fillId="4" borderId="0" xfId="0" applyFont="1" applyFill="1"/>
    <xf numFmtId="0" fontId="23" fillId="5" borderId="0" xfId="0" applyFont="1" applyFill="1"/>
    <xf numFmtId="0" fontId="25" fillId="0" borderId="0" xfId="0" applyFont="1"/>
    <xf numFmtId="0" fontId="26" fillId="0" borderId="88" xfId="0" applyFont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3" fontId="26" fillId="0" borderId="92" xfId="0" applyNumberFormat="1" applyFont="1" applyBorder="1" applyAlignment="1">
      <alignment horizontal="center" vertical="center"/>
    </xf>
    <xf numFmtId="3" fontId="26" fillId="6" borderId="92" xfId="0" applyNumberFormat="1" applyFont="1" applyFill="1" applyBorder="1" applyAlignment="1">
      <alignment horizontal="center" vertical="center"/>
    </xf>
    <xf numFmtId="3" fontId="26" fillId="6" borderId="94" xfId="0" applyNumberFormat="1" applyFont="1" applyFill="1" applyBorder="1" applyAlignment="1">
      <alignment horizontal="center" vertical="center"/>
    </xf>
    <xf numFmtId="3" fontId="26" fillId="6" borderId="93" xfId="0" applyNumberFormat="1" applyFont="1" applyFill="1" applyBorder="1" applyAlignment="1">
      <alignment horizontal="center" vertical="center"/>
    </xf>
    <xf numFmtId="3" fontId="26" fillId="0" borderId="94" xfId="0" applyNumberFormat="1" applyFont="1" applyBorder="1" applyAlignment="1">
      <alignment horizontal="center" vertical="center"/>
    </xf>
    <xf numFmtId="0" fontId="26" fillId="0" borderId="90" xfId="0" applyFont="1" applyBorder="1" applyAlignment="1">
      <alignment horizontal="center" vertical="center" wrapText="1"/>
    </xf>
    <xf numFmtId="10" fontId="27" fillId="6" borderId="109" xfId="1" applyNumberFormat="1" applyFont="1" applyFill="1" applyBorder="1" applyAlignment="1">
      <alignment horizontal="center" vertical="center" wrapText="1"/>
    </xf>
    <xf numFmtId="10" fontId="27" fillId="6" borderId="110" xfId="1" applyNumberFormat="1" applyFont="1" applyFill="1" applyBorder="1" applyAlignment="1">
      <alignment horizontal="center" vertical="center" wrapText="1"/>
    </xf>
    <xf numFmtId="0" fontId="0" fillId="0" borderId="81" xfId="0" applyBorder="1"/>
    <xf numFmtId="0" fontId="0" fillId="0" borderId="82" xfId="0" applyBorder="1"/>
    <xf numFmtId="0" fontId="0" fillId="0" borderId="100" xfId="0" applyBorder="1"/>
    <xf numFmtId="0" fontId="0" fillId="0" borderId="84" xfId="0" applyBorder="1"/>
    <xf numFmtId="0" fontId="0" fillId="0" borderId="83" xfId="0" applyBorder="1"/>
    <xf numFmtId="0" fontId="0" fillId="0" borderId="85" xfId="0" applyBorder="1"/>
    <xf numFmtId="0" fontId="0" fillId="0" borderId="87" xfId="0" applyBorder="1"/>
    <xf numFmtId="3" fontId="26" fillId="0" borderId="119" xfId="0" applyNumberFormat="1" applyFont="1" applyBorder="1" applyAlignment="1">
      <alignment horizontal="center" vertical="center"/>
    </xf>
    <xf numFmtId="170" fontId="27" fillId="0" borderId="119" xfId="0" applyNumberFormat="1" applyFont="1" applyBorder="1" applyAlignment="1">
      <alignment horizontal="center" vertical="center"/>
    </xf>
    <xf numFmtId="3" fontId="26" fillId="0" borderId="95" xfId="0" applyNumberFormat="1" applyFont="1" applyBorder="1" applyAlignment="1">
      <alignment horizontal="center" vertical="center"/>
    </xf>
    <xf numFmtId="170" fontId="27" fillId="0" borderId="95" xfId="0" applyNumberFormat="1" applyFont="1" applyBorder="1" applyAlignment="1">
      <alignment horizontal="center" vertical="center"/>
    </xf>
    <xf numFmtId="3" fontId="26" fillId="0" borderId="93" xfId="0" applyNumberFormat="1" applyFont="1" applyBorder="1" applyAlignment="1">
      <alignment horizontal="center" vertical="center"/>
    </xf>
    <xf numFmtId="0" fontId="26" fillId="0" borderId="121" xfId="0" applyFont="1" applyBorder="1" applyAlignment="1">
      <alignment horizontal="center"/>
    </xf>
    <xf numFmtId="0" fontId="26" fillId="0" borderId="122" xfId="0" applyFont="1" applyBorder="1" applyAlignment="1">
      <alignment horizontal="center"/>
    </xf>
    <xf numFmtId="170" fontId="27" fillId="0" borderId="104" xfId="0" applyNumberFormat="1" applyFont="1" applyBorder="1" applyAlignment="1">
      <alignment horizontal="center" vertical="center"/>
    </xf>
    <xf numFmtId="10" fontId="27" fillId="0" borderId="93" xfId="0" applyNumberFormat="1" applyFont="1" applyBorder="1" applyAlignment="1">
      <alignment horizontal="center" vertical="center"/>
    </xf>
    <xf numFmtId="10" fontId="27" fillId="0" borderId="106" xfId="0" applyNumberFormat="1" applyFont="1" applyBorder="1" applyAlignment="1">
      <alignment horizontal="center" vertical="center"/>
    </xf>
    <xf numFmtId="0" fontId="26" fillId="0" borderId="95" xfId="0" applyFont="1" applyBorder="1" applyAlignment="1">
      <alignment horizontal="center" vertical="center" wrapText="1"/>
    </xf>
    <xf numFmtId="10" fontId="27" fillId="0" borderId="94" xfId="0" applyNumberFormat="1" applyFont="1" applyBorder="1" applyAlignment="1">
      <alignment horizontal="center" vertical="center"/>
    </xf>
    <xf numFmtId="168" fontId="27" fillId="0" borderId="92" xfId="0" applyNumberFormat="1" applyFont="1" applyBorder="1" applyAlignment="1">
      <alignment horizontal="center" vertical="center"/>
    </xf>
    <xf numFmtId="0" fontId="26" fillId="6" borderId="95" xfId="0" applyFont="1" applyFill="1" applyBorder="1" applyAlignment="1">
      <alignment horizontal="center" vertical="center" wrapText="1"/>
    </xf>
    <xf numFmtId="168" fontId="27" fillId="6" borderId="92" xfId="0" applyNumberFormat="1" applyFont="1" applyFill="1" applyBorder="1" applyAlignment="1">
      <alignment horizontal="center" vertical="center"/>
    </xf>
    <xf numFmtId="10" fontId="27" fillId="6" borderId="94" xfId="0" applyNumberFormat="1" applyFont="1" applyFill="1" applyBorder="1" applyAlignment="1">
      <alignment horizontal="center" vertical="center"/>
    </xf>
    <xf numFmtId="0" fontId="26" fillId="0" borderId="121" xfId="0" applyFont="1" applyBorder="1" applyAlignment="1">
      <alignment horizontal="center" vertical="center"/>
    </xf>
    <xf numFmtId="0" fontId="26" fillId="0" borderId="122" xfId="0" applyFont="1" applyBorder="1" applyAlignment="1">
      <alignment horizontal="center" vertical="center"/>
    </xf>
    <xf numFmtId="168" fontId="27" fillId="0" borderId="97" xfId="0" applyNumberFormat="1" applyFont="1" applyBorder="1" applyAlignment="1">
      <alignment horizontal="center" vertical="center"/>
    </xf>
    <xf numFmtId="10" fontId="27" fillId="0" borderId="99" xfId="0" applyNumberFormat="1" applyFont="1" applyBorder="1" applyAlignment="1">
      <alignment horizontal="center" vertical="center"/>
    </xf>
    <xf numFmtId="168" fontId="27" fillId="6" borderId="97" xfId="0" applyNumberFormat="1" applyFont="1" applyFill="1" applyBorder="1" applyAlignment="1">
      <alignment horizontal="center" vertical="center"/>
    </xf>
    <xf numFmtId="10" fontId="27" fillId="6" borderId="99" xfId="0" applyNumberFormat="1" applyFont="1" applyFill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3" fontId="26" fillId="6" borderId="95" xfId="0" applyNumberFormat="1" applyFont="1" applyFill="1" applyBorder="1" applyAlignment="1">
      <alignment horizontal="center" vertical="center"/>
    </xf>
    <xf numFmtId="170" fontId="27" fillId="6" borderId="95" xfId="0" applyNumberFormat="1" applyFont="1" applyFill="1" applyBorder="1" applyAlignment="1">
      <alignment horizontal="center" vertical="center"/>
    </xf>
    <xf numFmtId="170" fontId="27" fillId="6" borderId="104" xfId="0" applyNumberFormat="1" applyFont="1" applyFill="1" applyBorder="1" applyAlignment="1">
      <alignment horizontal="center" vertical="center"/>
    </xf>
    <xf numFmtId="3" fontId="26" fillId="6" borderId="119" xfId="0" applyNumberFormat="1" applyFont="1" applyFill="1" applyBorder="1" applyAlignment="1">
      <alignment horizontal="center" vertical="center"/>
    </xf>
    <xf numFmtId="170" fontId="27" fillId="6" borderId="119" xfId="0" applyNumberFormat="1" applyFont="1" applyFill="1" applyBorder="1" applyAlignment="1">
      <alignment horizontal="center" vertical="center"/>
    </xf>
    <xf numFmtId="10" fontId="27" fillId="6" borderId="93" xfId="0" applyNumberFormat="1" applyFont="1" applyFill="1" applyBorder="1" applyAlignment="1">
      <alignment horizontal="center" vertical="center"/>
    </xf>
    <xf numFmtId="10" fontId="27" fillId="6" borderId="106" xfId="0" applyNumberFormat="1" applyFont="1" applyFill="1" applyBorder="1" applyAlignment="1">
      <alignment horizontal="center" vertical="center"/>
    </xf>
    <xf numFmtId="171" fontId="0" fillId="0" borderId="92" xfId="4" applyNumberFormat="1" applyFont="1" applyBorder="1" applyAlignment="1">
      <alignment horizontal="center" vertical="center"/>
    </xf>
    <xf numFmtId="44" fontId="0" fillId="0" borderId="92" xfId="0" applyNumberFormat="1" applyBorder="1" applyAlignment="1">
      <alignment horizontal="center" vertical="center"/>
    </xf>
    <xf numFmtId="171" fontId="0" fillId="0" borderId="93" xfId="4" applyNumberFormat="1" applyFont="1" applyBorder="1" applyAlignment="1">
      <alignment horizontal="center" vertical="center"/>
    </xf>
    <xf numFmtId="44" fontId="0" fillId="0" borderId="93" xfId="0" applyNumberFormat="1" applyBorder="1" applyAlignment="1">
      <alignment horizontal="center" vertical="center"/>
    </xf>
    <xf numFmtId="171" fontId="0" fillId="0" borderId="91" xfId="4" applyNumberFormat="1" applyFont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168" fontId="27" fillId="0" borderId="95" xfId="0" applyNumberFormat="1" applyFont="1" applyBorder="1" applyAlignment="1">
      <alignment horizontal="center" vertical="center"/>
    </xf>
    <xf numFmtId="168" fontId="27" fillId="0" borderId="104" xfId="0" applyNumberFormat="1" applyFont="1" applyBorder="1" applyAlignment="1">
      <alignment horizontal="center" vertical="center"/>
    </xf>
    <xf numFmtId="168" fontId="27" fillId="6" borderId="95" xfId="0" applyNumberFormat="1" applyFont="1" applyFill="1" applyBorder="1" applyAlignment="1">
      <alignment horizontal="center" vertical="center"/>
    </xf>
    <xf numFmtId="168" fontId="27" fillId="6" borderId="104" xfId="0" applyNumberFormat="1" applyFont="1" applyFill="1" applyBorder="1" applyAlignment="1">
      <alignment horizontal="center" vertical="center"/>
    </xf>
    <xf numFmtId="9" fontId="27" fillId="0" borderId="94" xfId="0" applyNumberFormat="1" applyFont="1" applyBorder="1" applyAlignment="1">
      <alignment horizontal="center" vertical="center"/>
    </xf>
    <xf numFmtId="9" fontId="27" fillId="6" borderId="94" xfId="0" applyNumberFormat="1" applyFont="1" applyFill="1" applyBorder="1" applyAlignment="1">
      <alignment horizontal="center" vertical="center"/>
    </xf>
    <xf numFmtId="9" fontId="27" fillId="0" borderId="99" xfId="0" applyNumberFormat="1" applyFont="1" applyBorder="1" applyAlignment="1">
      <alignment horizontal="center" vertical="center"/>
    </xf>
    <xf numFmtId="9" fontId="27" fillId="6" borderId="99" xfId="0" applyNumberFormat="1" applyFont="1" applyFill="1" applyBorder="1" applyAlignment="1">
      <alignment horizontal="center" vertical="center"/>
    </xf>
    <xf numFmtId="3" fontId="26" fillId="6" borderId="109" xfId="0" applyNumberFormat="1" applyFont="1" applyFill="1" applyBorder="1" applyAlignment="1">
      <alignment horizontal="center" vertical="center"/>
    </xf>
    <xf numFmtId="10" fontId="27" fillId="6" borderId="109" xfId="0" applyNumberFormat="1" applyFont="1" applyFill="1" applyBorder="1" applyAlignment="1">
      <alignment horizontal="center" vertical="center"/>
    </xf>
    <xf numFmtId="10" fontId="27" fillId="6" borderId="110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71" fontId="0" fillId="6" borderId="95" xfId="4" applyNumberFormat="1" applyFont="1" applyFill="1" applyBorder="1" applyAlignment="1">
      <alignment horizontal="center" vertical="center"/>
    </xf>
    <xf numFmtId="171" fontId="0" fillId="6" borderId="91" xfId="4" applyNumberFormat="1" applyFont="1" applyFill="1" applyBorder="1" applyAlignment="1">
      <alignment horizontal="center" vertical="center"/>
    </xf>
    <xf numFmtId="171" fontId="0" fillId="6" borderId="92" xfId="4" applyNumberFormat="1" applyFont="1" applyFill="1" applyBorder="1" applyAlignment="1">
      <alignment horizontal="center" vertical="center"/>
    </xf>
    <xf numFmtId="171" fontId="0" fillId="6" borderId="93" xfId="4" applyNumberFormat="1" applyFont="1" applyFill="1" applyBorder="1" applyAlignment="1">
      <alignment horizontal="center" vertical="center"/>
    </xf>
    <xf numFmtId="171" fontId="0" fillId="6" borderId="94" xfId="4" applyNumberFormat="1" applyFont="1" applyFill="1" applyBorder="1" applyAlignment="1">
      <alignment horizontal="center" vertical="center"/>
    </xf>
    <xf numFmtId="0" fontId="2" fillId="0" borderId="124" xfId="0" applyFont="1" applyBorder="1" applyAlignment="1">
      <alignment horizontal="center" vertical="center"/>
    </xf>
    <xf numFmtId="168" fontId="2" fillId="0" borderId="119" xfId="0" applyNumberFormat="1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0" fillId="0" borderId="131" xfId="0" applyBorder="1"/>
    <xf numFmtId="0" fontId="14" fillId="0" borderId="132" xfId="0" applyFont="1" applyBorder="1" applyAlignment="1">
      <alignment horizontal="center" vertical="center" wrapText="1"/>
    </xf>
    <xf numFmtId="0" fontId="0" fillId="0" borderId="132" xfId="0" applyBorder="1"/>
    <xf numFmtId="0" fontId="0" fillId="0" borderId="133" xfId="0" applyBorder="1"/>
    <xf numFmtId="0" fontId="0" fillId="0" borderId="134" xfId="0" applyBorder="1"/>
    <xf numFmtId="0" fontId="0" fillId="0" borderId="135" xfId="0" applyBorder="1"/>
    <xf numFmtId="0" fontId="14" fillId="0" borderId="135" xfId="0" applyFont="1" applyBorder="1" applyAlignment="1">
      <alignment horizontal="center" vertical="center"/>
    </xf>
    <xf numFmtId="0" fontId="0" fillId="0" borderId="134" xfId="0" applyBorder="1" applyAlignment="1">
      <alignment horizontal="center" vertical="center"/>
    </xf>
    <xf numFmtId="0" fontId="2" fillId="0" borderId="135" xfId="0" applyFont="1" applyBorder="1" applyAlignment="1">
      <alignment horizontal="center" vertical="center"/>
    </xf>
    <xf numFmtId="168" fontId="0" fillId="0" borderId="134" xfId="0" applyNumberFormat="1" applyBorder="1" applyAlignment="1">
      <alignment horizontal="center" vertical="center"/>
    </xf>
    <xf numFmtId="168" fontId="0" fillId="0" borderId="135" xfId="0" applyNumberFormat="1" applyBorder="1" applyAlignment="1">
      <alignment horizontal="center" vertical="center"/>
    </xf>
    <xf numFmtId="44" fontId="0" fillId="0" borderId="135" xfId="0" applyNumberFormat="1" applyBorder="1" applyAlignment="1">
      <alignment horizontal="center" vertical="center"/>
    </xf>
    <xf numFmtId="0" fontId="0" fillId="0" borderId="136" xfId="0" applyBorder="1"/>
    <xf numFmtId="0" fontId="0" fillId="0" borderId="137" xfId="0" applyBorder="1"/>
    <xf numFmtId="0" fontId="0" fillId="0" borderId="138" xfId="0" applyBorder="1"/>
    <xf numFmtId="0" fontId="0" fillId="0" borderId="139" xfId="0" applyBorder="1" applyAlignment="1">
      <alignment horizontal="center" vertical="center"/>
    </xf>
    <xf numFmtId="0" fontId="0" fillId="0" borderId="140" xfId="0" applyBorder="1" applyAlignment="1">
      <alignment horizontal="center" vertical="center"/>
    </xf>
    <xf numFmtId="0" fontId="0" fillId="0" borderId="141" xfId="0" applyBorder="1" applyAlignment="1">
      <alignment horizontal="center" vertical="center"/>
    </xf>
    <xf numFmtId="0" fontId="0" fillId="0" borderId="142" xfId="0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168" fontId="2" fillId="0" borderId="88" xfId="0" applyNumberFormat="1" applyFont="1" applyBorder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169" fontId="19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5" fillId="0" borderId="0" xfId="0" applyFont="1" applyAlignment="1">
      <alignment horizontal="center"/>
    </xf>
    <xf numFmtId="0" fontId="23" fillId="3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21" fillId="0" borderId="80" xfId="0" applyFont="1" applyBorder="1" applyAlignment="1">
      <alignment horizontal="left" vertical="center"/>
    </xf>
    <xf numFmtId="0" fontId="19" fillId="0" borderId="80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4" fontId="37" fillId="0" borderId="0" xfId="0" applyNumberFormat="1" applyFont="1" applyAlignment="1">
      <alignment horizontal="center" vertical="center"/>
    </xf>
    <xf numFmtId="44" fontId="0" fillId="0" borderId="24" xfId="1" applyNumberFormat="1" applyFont="1" applyFill="1" applyBorder="1" applyAlignment="1">
      <alignment horizontal="center" vertical="center" wrapText="1"/>
    </xf>
    <xf numFmtId="44" fontId="0" fillId="0" borderId="21" xfId="1" applyNumberFormat="1" applyFont="1" applyFill="1" applyBorder="1" applyAlignment="1">
      <alignment horizontal="center" vertical="center" wrapText="1"/>
    </xf>
    <xf numFmtId="44" fontId="0" fillId="0" borderId="22" xfId="1" applyNumberFormat="1" applyFont="1" applyFill="1" applyBorder="1" applyAlignment="1">
      <alignment horizontal="center" vertical="center" wrapText="1"/>
    </xf>
    <xf numFmtId="44" fontId="0" fillId="0" borderId="23" xfId="1" applyNumberFormat="1" applyFont="1" applyFill="1" applyBorder="1" applyAlignment="1">
      <alignment horizontal="center" vertical="center" wrapText="1"/>
    </xf>
    <xf numFmtId="44" fontId="0" fillId="0" borderId="25" xfId="1" applyNumberFormat="1" applyFont="1" applyFill="1" applyBorder="1" applyAlignment="1">
      <alignment horizontal="center" vertical="center" wrapText="1"/>
    </xf>
    <xf numFmtId="44" fontId="27" fillId="0" borderId="91" xfId="1" applyNumberFormat="1" applyFont="1" applyFill="1" applyBorder="1" applyAlignment="1">
      <alignment horizontal="center" vertical="center" wrapText="1"/>
    </xf>
    <xf numFmtId="44" fontId="27" fillId="0" borderId="102" xfId="1" applyNumberFormat="1" applyFont="1" applyFill="1" applyBorder="1" applyAlignment="1">
      <alignment horizontal="center" vertical="center" wrapText="1"/>
    </xf>
    <xf numFmtId="44" fontId="27" fillId="6" borderId="92" xfId="1" applyNumberFormat="1" applyFont="1" applyFill="1" applyBorder="1" applyAlignment="1">
      <alignment horizontal="center" vertical="center" wrapText="1"/>
    </xf>
    <xf numFmtId="44" fontId="27" fillId="6" borderId="97" xfId="1" applyNumberFormat="1" applyFont="1" applyFill="1" applyBorder="1" applyAlignment="1">
      <alignment horizontal="center" vertical="center" wrapText="1"/>
    </xf>
    <xf numFmtId="1" fontId="27" fillId="0" borderId="92" xfId="1" applyNumberFormat="1" applyFont="1" applyFill="1" applyBorder="1" applyAlignment="1">
      <alignment horizontal="center" vertical="center" wrapText="1"/>
    </xf>
    <xf numFmtId="1" fontId="27" fillId="0" borderId="97" xfId="1" applyNumberFormat="1" applyFont="1" applyFill="1" applyBorder="1" applyAlignment="1">
      <alignment horizontal="center" vertical="center" wrapText="1"/>
    </xf>
    <xf numFmtId="44" fontId="27" fillId="0" borderId="108" xfId="1" applyNumberFormat="1" applyFont="1" applyFill="1" applyBorder="1" applyAlignment="1">
      <alignment horizontal="center" vertical="center" wrapText="1"/>
    </xf>
    <xf numFmtId="44" fontId="27" fillId="0" borderId="117" xfId="1" applyNumberFormat="1" applyFont="1" applyFill="1" applyBorder="1" applyAlignment="1">
      <alignment horizontal="center" vertical="center" wrapText="1"/>
    </xf>
    <xf numFmtId="168" fontId="2" fillId="0" borderId="129" xfId="0" applyNumberFormat="1" applyFont="1" applyBorder="1" applyAlignment="1">
      <alignment horizontal="center" vertical="center"/>
    </xf>
    <xf numFmtId="44" fontId="0" fillId="0" borderId="128" xfId="0" applyNumberFormat="1" applyBorder="1" applyAlignment="1">
      <alignment vertical="center"/>
    </xf>
    <xf numFmtId="44" fontId="0" fillId="0" borderId="126" xfId="0" applyNumberFormat="1" applyBorder="1" applyAlignment="1">
      <alignment vertical="center"/>
    </xf>
    <xf numFmtId="44" fontId="0" fillId="0" borderId="144" xfId="0" applyNumberFormat="1" applyBorder="1" applyAlignment="1">
      <alignment vertical="center"/>
    </xf>
    <xf numFmtId="44" fontId="0" fillId="0" borderId="127" xfId="0" applyNumberFormat="1" applyBorder="1" applyAlignment="1">
      <alignment vertical="center"/>
    </xf>
    <xf numFmtId="44" fontId="0" fillId="0" borderId="130" xfId="0" applyNumberFormat="1" applyBorder="1" applyAlignment="1">
      <alignment vertical="center"/>
    </xf>
    <xf numFmtId="44" fontId="0" fillId="0" borderId="95" xfId="0" applyNumberFormat="1" applyBorder="1" applyAlignment="1">
      <alignment vertical="center"/>
    </xf>
    <xf numFmtId="44" fontId="0" fillId="0" borderId="92" xfId="0" applyNumberFormat="1" applyBorder="1" applyAlignment="1">
      <alignment vertical="center"/>
    </xf>
    <xf numFmtId="44" fontId="0" fillId="0" borderId="94" xfId="0" applyNumberFormat="1" applyBorder="1" applyAlignment="1">
      <alignment vertical="center"/>
    </xf>
    <xf numFmtId="44" fontId="0" fillId="0" borderId="93" xfId="0" applyNumberFormat="1" applyBorder="1" applyAlignment="1">
      <alignment vertical="center"/>
    </xf>
    <xf numFmtId="44" fontId="0" fillId="0" borderId="91" xfId="0" applyNumberFormat="1" applyBorder="1" applyAlignment="1">
      <alignment vertical="center"/>
    </xf>
    <xf numFmtId="170" fontId="27" fillId="6" borderId="102" xfId="0" applyNumberFormat="1" applyFont="1" applyFill="1" applyBorder="1" applyAlignment="1">
      <alignment horizontal="center" vertical="center"/>
    </xf>
    <xf numFmtId="170" fontId="27" fillId="0" borderId="102" xfId="0" applyNumberFormat="1" applyFont="1" applyBorder="1" applyAlignment="1">
      <alignment horizontal="center" vertical="center"/>
    </xf>
    <xf numFmtId="168" fontId="27" fillId="6" borderId="99" xfId="0" applyNumberFormat="1" applyFont="1" applyFill="1" applyBorder="1" applyAlignment="1">
      <alignment horizontal="center" vertical="center"/>
    </xf>
    <xf numFmtId="0" fontId="26" fillId="6" borderId="91" xfId="0" applyFont="1" applyFill="1" applyBorder="1" applyAlignment="1">
      <alignment horizontal="center" vertical="center" wrapText="1"/>
    </xf>
    <xf numFmtId="168" fontId="27" fillId="6" borderId="91" xfId="0" applyNumberFormat="1" applyFont="1" applyFill="1" applyBorder="1" applyAlignment="1">
      <alignment horizontal="center" vertical="center"/>
    </xf>
    <xf numFmtId="168" fontId="27" fillId="6" borderId="128" xfId="0" applyNumberFormat="1" applyFont="1" applyFill="1" applyBorder="1" applyAlignment="1">
      <alignment horizontal="center" vertical="center"/>
    </xf>
    <xf numFmtId="168" fontId="27" fillId="6" borderId="126" xfId="0" applyNumberFormat="1" applyFont="1" applyFill="1" applyBorder="1" applyAlignment="1">
      <alignment horizontal="center" vertical="center"/>
    </xf>
    <xf numFmtId="168" fontId="27" fillId="6" borderId="142" xfId="0" applyNumberFormat="1" applyFont="1" applyFill="1" applyBorder="1" applyAlignment="1">
      <alignment horizontal="center" vertical="center"/>
    </xf>
    <xf numFmtId="168" fontId="27" fillId="6" borderId="140" xfId="0" applyNumberFormat="1" applyFont="1" applyFill="1" applyBorder="1" applyAlignment="1">
      <alignment horizontal="center" vertical="center"/>
    </xf>
    <xf numFmtId="167" fontId="0" fillId="0" borderId="31" xfId="0" applyNumberFormat="1" applyBorder="1" applyAlignment="1">
      <alignment horizontal="center" vertical="center" wrapText="1"/>
    </xf>
    <xf numFmtId="0" fontId="2" fillId="0" borderId="156" xfId="0" applyFont="1" applyBorder="1" applyAlignment="1">
      <alignment horizontal="center" vertical="center" wrapText="1"/>
    </xf>
    <xf numFmtId="164" fontId="0" fillId="0" borderId="157" xfId="0" applyNumberFormat="1" applyBorder="1" applyAlignment="1">
      <alignment horizontal="center" vertical="center"/>
    </xf>
    <xf numFmtId="165" fontId="0" fillId="0" borderId="158" xfId="0" applyNumberFormat="1" applyBorder="1" applyAlignment="1">
      <alignment horizontal="center" vertical="center"/>
    </xf>
    <xf numFmtId="164" fontId="0" fillId="0" borderId="153" xfId="0" applyNumberFormat="1" applyBorder="1" applyAlignment="1">
      <alignment horizontal="center" vertical="center"/>
    </xf>
    <xf numFmtId="165" fontId="0" fillId="0" borderId="159" xfId="0" applyNumberFormat="1" applyBorder="1" applyAlignment="1">
      <alignment horizontal="center" vertical="center"/>
    </xf>
    <xf numFmtId="164" fontId="0" fillId="0" borderId="160" xfId="0" applyNumberFormat="1" applyBorder="1" applyAlignment="1">
      <alignment horizontal="center" vertical="center"/>
    </xf>
    <xf numFmtId="165" fontId="0" fillId="0" borderId="161" xfId="0" applyNumberFormat="1" applyBorder="1" applyAlignment="1">
      <alignment horizontal="center" vertical="center"/>
    </xf>
    <xf numFmtId="164" fontId="0" fillId="0" borderId="162" xfId="0" applyNumberFormat="1" applyBorder="1" applyAlignment="1">
      <alignment horizontal="center" vertical="center"/>
    </xf>
    <xf numFmtId="165" fontId="0" fillId="0" borderId="163" xfId="0" applyNumberForma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44" fontId="0" fillId="0" borderId="0" xfId="0" applyNumberFormat="1"/>
    <xf numFmtId="167" fontId="0" fillId="0" borderId="164" xfId="0" applyNumberFormat="1" applyBorder="1" applyAlignment="1">
      <alignment horizontal="center" vertical="center" wrapText="1"/>
    </xf>
    <xf numFmtId="44" fontId="0" fillId="0" borderId="20" xfId="1" applyNumberFormat="1" applyFont="1" applyFill="1" applyBorder="1" applyAlignment="1">
      <alignment horizontal="center" vertical="center" wrapText="1"/>
    </xf>
    <xf numFmtId="44" fontId="0" fillId="0" borderId="165" xfId="1" applyNumberFormat="1" applyFont="1" applyFill="1" applyBorder="1" applyAlignment="1">
      <alignment horizontal="center" vertical="center" wrapText="1"/>
    </xf>
    <xf numFmtId="44" fontId="0" fillId="13" borderId="20" xfId="1" applyNumberFormat="1" applyFont="1" applyFill="1" applyBorder="1" applyAlignment="1">
      <alignment horizontal="center" vertical="center" wrapText="1"/>
    </xf>
    <xf numFmtId="9" fontId="0" fillId="0" borderId="21" xfId="1" applyNumberFormat="1" applyFont="1" applyFill="1" applyBorder="1" applyAlignment="1">
      <alignment horizontal="center" vertical="center" wrapText="1"/>
    </xf>
    <xf numFmtId="8" fontId="0" fillId="0" borderId="0" xfId="0" applyNumberFormat="1"/>
    <xf numFmtId="1" fontId="27" fillId="6" borderId="94" xfId="0" applyNumberFormat="1" applyFont="1" applyFill="1" applyBorder="1" applyAlignment="1">
      <alignment horizontal="center" vertical="center"/>
    </xf>
    <xf numFmtId="1" fontId="27" fillId="6" borderId="144" xfId="0" applyNumberFormat="1" applyFont="1" applyFill="1" applyBorder="1" applyAlignment="1">
      <alignment horizontal="center" vertical="center"/>
    </xf>
    <xf numFmtId="1" fontId="27" fillId="6" borderId="99" xfId="0" applyNumberFormat="1" applyFont="1" applyFill="1" applyBorder="1" applyAlignment="1">
      <alignment horizontal="center" vertical="center"/>
    </xf>
    <xf numFmtId="168" fontId="27" fillId="6" borderId="130" xfId="0" applyNumberFormat="1" applyFont="1" applyFill="1" applyBorder="1" applyAlignment="1">
      <alignment horizontal="center" vertical="center"/>
    </xf>
    <xf numFmtId="168" fontId="27" fillId="6" borderId="139" xfId="0" applyNumberFormat="1" applyFont="1" applyFill="1" applyBorder="1" applyAlignment="1">
      <alignment horizontal="center" vertical="center"/>
    </xf>
    <xf numFmtId="0" fontId="2" fillId="0" borderId="88" xfId="0" applyFont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 wrapText="1"/>
    </xf>
    <xf numFmtId="168" fontId="27" fillId="6" borderId="102" xfId="0" applyNumberFormat="1" applyFont="1" applyFill="1" applyBorder="1" applyAlignment="1">
      <alignment horizontal="center" vertical="center"/>
    </xf>
    <xf numFmtId="168" fontId="27" fillId="6" borderId="110" xfId="0" applyNumberFormat="1" applyFont="1" applyFill="1" applyBorder="1" applyAlignment="1">
      <alignment horizontal="center" vertical="center"/>
    </xf>
    <xf numFmtId="164" fontId="0" fillId="0" borderId="167" xfId="0" applyNumberFormat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9" fontId="0" fillId="0" borderId="158" xfId="0" applyNumberForma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90" xfId="0" applyFont="1" applyBorder="1" applyAlignment="1">
      <alignment horizontal="center" vertical="center" wrapText="1"/>
    </xf>
    <xf numFmtId="168" fontId="0" fillId="0" borderId="170" xfId="0" applyNumberFormat="1" applyBorder="1" applyAlignment="1">
      <alignment horizontal="center" vertical="center"/>
    </xf>
    <xf numFmtId="164" fontId="0" fillId="0" borderId="172" xfId="0" applyNumberFormat="1" applyBorder="1" applyAlignment="1">
      <alignment horizontal="center" vertical="center"/>
    </xf>
    <xf numFmtId="164" fontId="0" fillId="0" borderId="84" xfId="0" applyNumberFormat="1" applyBorder="1" applyAlignment="1">
      <alignment horizontal="center" vertical="center"/>
    </xf>
    <xf numFmtId="164" fontId="0" fillId="0" borderId="173" xfId="0" applyNumberFormat="1" applyBorder="1" applyAlignment="1">
      <alignment horizontal="center" vertical="center"/>
    </xf>
    <xf numFmtId="168" fontId="0" fillId="0" borderId="174" xfId="0" applyNumberFormat="1" applyBorder="1" applyAlignment="1">
      <alignment horizontal="center" vertical="center"/>
    </xf>
    <xf numFmtId="9" fontId="0" fillId="0" borderId="175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176" xfId="0" applyNumberFormat="1" applyBorder="1" applyAlignment="1">
      <alignment horizontal="center" vertical="center"/>
    </xf>
    <xf numFmtId="168" fontId="0" fillId="0" borderId="167" xfId="0" applyNumberFormat="1" applyBorder="1" applyAlignment="1">
      <alignment horizontal="center" vertical="center"/>
    </xf>
    <xf numFmtId="164" fontId="2" fillId="0" borderId="115" xfId="0" applyNumberFormat="1" applyFont="1" applyBorder="1" applyAlignment="1">
      <alignment horizontal="center" vertical="center"/>
    </xf>
    <xf numFmtId="168" fontId="2" fillId="0" borderId="177" xfId="0" applyNumberFormat="1" applyFont="1" applyBorder="1" applyAlignment="1">
      <alignment horizontal="center" vertical="center"/>
    </xf>
    <xf numFmtId="9" fontId="2" fillId="0" borderId="178" xfId="0" applyNumberFormat="1" applyFont="1" applyBorder="1" applyAlignment="1">
      <alignment horizontal="center" vertical="center"/>
    </xf>
    <xf numFmtId="9" fontId="2" fillId="0" borderId="179" xfId="0" applyNumberFormat="1" applyFont="1" applyBorder="1" applyAlignment="1">
      <alignment horizontal="center" vertical="center"/>
    </xf>
    <xf numFmtId="9" fontId="0" fillId="0" borderId="180" xfId="0" applyNumberFormat="1" applyBorder="1" applyAlignment="1">
      <alignment horizontal="center" vertical="center"/>
    </xf>
    <xf numFmtId="9" fontId="0" fillId="0" borderId="181" xfId="0" applyNumberFormat="1" applyBorder="1" applyAlignment="1">
      <alignment horizontal="center" vertical="center"/>
    </xf>
    <xf numFmtId="168" fontId="0" fillId="0" borderId="173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 wrapText="1"/>
    </xf>
    <xf numFmtId="9" fontId="39" fillId="0" borderId="0" xfId="0" applyNumberFormat="1" applyFont="1" applyAlignment="1">
      <alignment horizontal="center" vertical="center"/>
    </xf>
    <xf numFmtId="44" fontId="0" fillId="0" borderId="124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4" fontId="0" fillId="2" borderId="0" xfId="0" applyNumberFormat="1" applyFill="1"/>
    <xf numFmtId="10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44" fontId="0" fillId="2" borderId="0" xfId="0" applyNumberFormat="1" applyFill="1" applyAlignment="1">
      <alignment horizontal="center"/>
    </xf>
    <xf numFmtId="168" fontId="0" fillId="2" borderId="0" xfId="0" applyNumberFormat="1" applyFill="1"/>
    <xf numFmtId="168" fontId="0" fillId="2" borderId="0" xfId="0" applyNumberFormat="1" applyFill="1" applyAlignment="1">
      <alignment horizontal="center" vertical="center"/>
    </xf>
    <xf numFmtId="44" fontId="37" fillId="2" borderId="0" xfId="0" applyNumberFormat="1" applyFont="1" applyFill="1"/>
    <xf numFmtId="10" fontId="37" fillId="2" borderId="0" xfId="0" applyNumberFormat="1" applyFont="1" applyFill="1" applyAlignment="1">
      <alignment horizontal="center"/>
    </xf>
    <xf numFmtId="44" fontId="39" fillId="2" borderId="0" xfId="0" applyNumberFormat="1" applyFont="1" applyFill="1"/>
    <xf numFmtId="10" fontId="39" fillId="2" borderId="0" xfId="0" applyNumberFormat="1" applyFont="1" applyFill="1" applyAlignment="1">
      <alignment horizontal="center"/>
    </xf>
    <xf numFmtId="164" fontId="0" fillId="0" borderId="182" xfId="0" applyNumberFormat="1" applyBorder="1" applyAlignment="1">
      <alignment horizontal="center" vertical="center"/>
    </xf>
    <xf numFmtId="165" fontId="0" fillId="0" borderId="183" xfId="0" applyNumberFormat="1" applyBorder="1" applyAlignment="1">
      <alignment horizontal="center" vertical="center"/>
    </xf>
    <xf numFmtId="164" fontId="0" fillId="0" borderId="184" xfId="0" applyNumberFormat="1" applyBorder="1" applyAlignment="1">
      <alignment horizontal="center" vertical="center"/>
    </xf>
    <xf numFmtId="165" fontId="0" fillId="0" borderId="174" xfId="0" applyNumberFormat="1" applyBorder="1" applyAlignment="1">
      <alignment horizontal="center" vertical="center"/>
    </xf>
    <xf numFmtId="165" fontId="0" fillId="0" borderId="185" xfId="0" applyNumberFormat="1" applyBorder="1" applyAlignment="1">
      <alignment horizontal="center" vertical="center"/>
    </xf>
    <xf numFmtId="165" fontId="0" fillId="0" borderId="186" xfId="0" applyNumberFormat="1" applyBorder="1" applyAlignment="1">
      <alignment horizontal="center" vertical="center"/>
    </xf>
    <xf numFmtId="164" fontId="0" fillId="0" borderId="187" xfId="0" applyNumberFormat="1" applyBorder="1" applyAlignment="1">
      <alignment horizontal="center" vertical="center"/>
    </xf>
    <xf numFmtId="165" fontId="0" fillId="0" borderId="188" xfId="0" applyNumberFormat="1" applyBorder="1" applyAlignment="1">
      <alignment horizontal="center" vertical="center"/>
    </xf>
    <xf numFmtId="0" fontId="0" fillId="0" borderId="189" xfId="0" applyBorder="1" applyAlignment="1">
      <alignment horizontal="center" vertical="center"/>
    </xf>
    <xf numFmtId="165" fontId="0" fillId="0" borderId="179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5" fontId="37" fillId="0" borderId="0" xfId="0" applyNumberFormat="1" applyFont="1" applyAlignment="1">
      <alignment horizontal="center" vertical="center"/>
    </xf>
    <xf numFmtId="172" fontId="37" fillId="0" borderId="0" xfId="0" applyNumberFormat="1" applyFont="1" applyAlignment="1">
      <alignment horizontal="center" vertical="center"/>
    </xf>
    <xf numFmtId="10" fontId="39" fillId="0" borderId="0" xfId="0" applyNumberFormat="1" applyFont="1" applyAlignment="1">
      <alignment horizontal="center" vertical="center"/>
    </xf>
    <xf numFmtId="171" fontId="39" fillId="0" borderId="0" xfId="0" applyNumberFormat="1" applyFont="1" applyAlignment="1">
      <alignment horizontal="center" vertical="center"/>
    </xf>
    <xf numFmtId="171" fontId="37" fillId="0" borderId="0" xfId="0" applyNumberFormat="1" applyFont="1" applyAlignment="1">
      <alignment horizontal="center" vertical="center"/>
    </xf>
    <xf numFmtId="0" fontId="5" fillId="0" borderId="52" xfId="0" applyFont="1" applyBorder="1" applyAlignment="1">
      <alignment horizontal="center" vertical="center" wrapText="1"/>
    </xf>
    <xf numFmtId="44" fontId="0" fillId="0" borderId="0" xfId="0" applyNumberFormat="1" applyAlignment="1">
      <alignment horizontal="center" vertical="center" wrapText="1"/>
    </xf>
    <xf numFmtId="44" fontId="0" fillId="0" borderId="0" xfId="5" applyFon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0" xfId="0" applyFont="1" applyBorder="1" applyAlignment="1">
      <alignment horizontal="center" vertical="center" wrapText="1"/>
    </xf>
    <xf numFmtId="44" fontId="0" fillId="0" borderId="191" xfId="1" applyNumberFormat="1" applyFont="1" applyFill="1" applyBorder="1" applyAlignment="1">
      <alignment horizontal="center" vertical="center" wrapText="1"/>
    </xf>
    <xf numFmtId="44" fontId="0" fillId="0" borderId="192" xfId="1" applyNumberFormat="1" applyFont="1" applyFill="1" applyBorder="1" applyAlignment="1">
      <alignment horizontal="center" vertical="center" wrapText="1"/>
    </xf>
    <xf numFmtId="44" fontId="0" fillId="0" borderId="192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95" xfId="0" applyFont="1" applyBorder="1" applyAlignment="1">
      <alignment horizontal="center" vertical="center" wrapText="1"/>
    </xf>
    <xf numFmtId="44" fontId="0" fillId="0" borderId="196" xfId="1" applyNumberFormat="1" applyFont="1" applyFill="1" applyBorder="1" applyAlignment="1">
      <alignment horizontal="center" vertical="center" wrapText="1"/>
    </xf>
    <xf numFmtId="44" fontId="0" fillId="0" borderId="197" xfId="1" applyNumberFormat="1" applyFont="1" applyFill="1" applyBorder="1" applyAlignment="1">
      <alignment horizontal="center" vertical="center" wrapText="1"/>
    </xf>
    <xf numFmtId="44" fontId="0" fillId="0" borderId="13" xfId="1" applyNumberFormat="1" applyFont="1" applyFill="1" applyBorder="1" applyAlignment="1">
      <alignment horizontal="center" vertical="center" wrapText="1"/>
    </xf>
    <xf numFmtId="44" fontId="0" fillId="0" borderId="198" xfId="1" applyNumberFormat="1" applyFont="1" applyFill="1" applyBorder="1" applyAlignment="1">
      <alignment horizontal="center" vertical="center" wrapText="1"/>
    </xf>
    <xf numFmtId="167" fontId="0" fillId="0" borderId="34" xfId="0" applyNumberFormat="1" applyBorder="1" applyAlignment="1">
      <alignment horizontal="center" vertical="center" wrapText="1"/>
    </xf>
    <xf numFmtId="44" fontId="0" fillId="0" borderId="203" xfId="5" applyFont="1" applyBorder="1" applyAlignment="1">
      <alignment horizontal="center" vertical="center" wrapText="1"/>
    </xf>
    <xf numFmtId="44" fontId="0" fillId="0" borderId="11" xfId="1" applyNumberFormat="1" applyFont="1" applyFill="1" applyBorder="1" applyAlignment="1">
      <alignment horizontal="center" vertical="center" wrapText="1"/>
    </xf>
    <xf numFmtId="44" fontId="0" fillId="0" borderId="204" xfId="1" applyNumberFormat="1" applyFont="1" applyFill="1" applyBorder="1" applyAlignment="1">
      <alignment horizontal="center" vertical="center" wrapText="1"/>
    </xf>
    <xf numFmtId="44" fontId="0" fillId="0" borderId="12" xfId="1" applyNumberFormat="1" applyFont="1" applyFill="1" applyBorder="1" applyAlignment="1">
      <alignment horizontal="center" vertical="center" wrapText="1"/>
    </xf>
    <xf numFmtId="44" fontId="0" fillId="0" borderId="205" xfId="1" applyNumberFormat="1" applyFont="1" applyFill="1" applyBorder="1" applyAlignment="1">
      <alignment horizontal="center" vertical="center" wrapText="1"/>
    </xf>
    <xf numFmtId="0" fontId="34" fillId="7" borderId="88" xfId="0" applyFont="1" applyFill="1" applyBorder="1" applyAlignment="1">
      <alignment horizontal="center" vertical="center"/>
    </xf>
    <xf numFmtId="44" fontId="2" fillId="0" borderId="8" xfId="1" applyNumberFormat="1" applyFont="1" applyFill="1" applyBorder="1" applyAlignment="1">
      <alignment horizontal="center" vertical="center" wrapText="1"/>
    </xf>
    <xf numFmtId="44" fontId="2" fillId="0" borderId="9" xfId="1" applyNumberFormat="1" applyFont="1" applyFill="1" applyBorder="1" applyAlignment="1">
      <alignment horizontal="center" vertical="center" wrapText="1"/>
    </xf>
    <xf numFmtId="9" fontId="2" fillId="0" borderId="9" xfId="1" applyNumberFormat="1" applyFont="1" applyFill="1" applyBorder="1" applyAlignment="1">
      <alignment horizontal="center" vertical="center" wrapText="1"/>
    </xf>
    <xf numFmtId="44" fontId="2" fillId="0" borderId="11" xfId="1" applyNumberFormat="1" applyFont="1" applyFill="1" applyBorder="1" applyAlignment="1">
      <alignment horizontal="center" vertical="center" wrapText="1"/>
    </xf>
    <xf numFmtId="44" fontId="2" fillId="0" borderId="12" xfId="1" applyNumberFormat="1" applyFont="1" applyFill="1" applyBorder="1" applyAlignment="1">
      <alignment horizontal="center" vertical="center" wrapText="1"/>
    </xf>
    <xf numFmtId="9" fontId="2" fillId="0" borderId="12" xfId="1" applyNumberFormat="1" applyFont="1" applyFill="1" applyBorder="1" applyAlignment="1">
      <alignment horizontal="center" vertical="center" wrapText="1"/>
    </xf>
    <xf numFmtId="0" fontId="40" fillId="7" borderId="121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0" fontId="41" fillId="14" borderId="0" xfId="0" applyNumberFormat="1" applyFont="1" applyFill="1" applyAlignment="1">
      <alignment horizontal="center" vertical="center"/>
    </xf>
    <xf numFmtId="0" fontId="41" fillId="14" borderId="0" xfId="0" applyFont="1" applyFill="1" applyAlignment="1">
      <alignment horizontal="center" vertical="center"/>
    </xf>
    <xf numFmtId="8" fontId="42" fillId="14" borderId="0" xfId="0" applyNumberFormat="1" applyFont="1" applyFill="1" applyAlignment="1">
      <alignment horizontal="center" vertical="center"/>
    </xf>
    <xf numFmtId="10" fontId="42" fillId="14" borderId="0" xfId="0" applyNumberFormat="1" applyFont="1" applyFill="1" applyAlignment="1">
      <alignment horizontal="center" vertical="center"/>
    </xf>
    <xf numFmtId="0" fontId="26" fillId="0" borderId="91" xfId="0" applyFont="1" applyBorder="1" applyAlignment="1">
      <alignment horizontal="center" vertical="center" wrapText="1"/>
    </xf>
    <xf numFmtId="168" fontId="27" fillId="0" borderId="99" xfId="0" applyNumberFormat="1" applyFont="1" applyBorder="1" applyAlignment="1">
      <alignment horizontal="center" vertical="center"/>
    </xf>
    <xf numFmtId="3" fontId="26" fillId="0" borderId="126" xfId="0" applyNumberFormat="1" applyFont="1" applyBorder="1" applyAlignment="1">
      <alignment vertical="center"/>
    </xf>
    <xf numFmtId="3" fontId="27" fillId="0" borderId="94" xfId="0" applyNumberFormat="1" applyFont="1" applyBorder="1" applyAlignment="1">
      <alignment horizontal="center" vertical="center"/>
    </xf>
    <xf numFmtId="3" fontId="27" fillId="0" borderId="127" xfId="0" applyNumberFormat="1" applyFont="1" applyBorder="1" applyAlignment="1">
      <alignment horizontal="center" vertical="center"/>
    </xf>
    <xf numFmtId="3" fontId="27" fillId="0" borderId="93" xfId="0" applyNumberFormat="1" applyFont="1" applyBorder="1" applyAlignment="1">
      <alignment horizontal="center" vertical="center"/>
    </xf>
    <xf numFmtId="3" fontId="26" fillId="6" borderId="126" xfId="0" applyNumberFormat="1" applyFont="1" applyFill="1" applyBorder="1" applyAlignment="1">
      <alignment vertical="center"/>
    </xf>
    <xf numFmtId="3" fontId="27" fillId="6" borderId="127" xfId="0" applyNumberFormat="1" applyFont="1" applyFill="1" applyBorder="1" applyAlignment="1">
      <alignment horizontal="center" vertical="center"/>
    </xf>
    <xf numFmtId="3" fontId="27" fillId="6" borderId="93" xfId="0" applyNumberFormat="1" applyFont="1" applyFill="1" applyBorder="1" applyAlignment="1">
      <alignment horizontal="center" vertical="center"/>
    </xf>
    <xf numFmtId="1" fontId="27" fillId="0" borderId="94" xfId="0" applyNumberFormat="1" applyFont="1" applyBorder="1" applyAlignment="1">
      <alignment horizontal="center" vertical="center"/>
    </xf>
    <xf numFmtId="1" fontId="27" fillId="0" borderId="144" xfId="0" applyNumberFormat="1" applyFont="1" applyBorder="1" applyAlignment="1">
      <alignment horizontal="center" vertical="center"/>
    </xf>
    <xf numFmtId="1" fontId="27" fillId="0" borderId="99" xfId="0" applyNumberFormat="1" applyFont="1" applyBorder="1" applyAlignment="1">
      <alignment horizontal="center" vertical="center"/>
    </xf>
    <xf numFmtId="3" fontId="27" fillId="0" borderId="92" xfId="0" applyNumberFormat="1" applyFont="1" applyBorder="1" applyAlignment="1">
      <alignment horizontal="center" vertical="center"/>
    </xf>
    <xf numFmtId="3" fontId="27" fillId="6" borderId="92" xfId="0" applyNumberFormat="1" applyFont="1" applyFill="1" applyBorder="1" applyAlignment="1">
      <alignment horizontal="center" vertical="center"/>
    </xf>
    <xf numFmtId="10" fontId="27" fillId="0" borderId="92" xfId="0" applyNumberFormat="1" applyFont="1" applyBorder="1" applyAlignment="1">
      <alignment horizontal="center" vertical="center"/>
    </xf>
    <xf numFmtId="10" fontId="27" fillId="0" borderId="97" xfId="0" applyNumberFormat="1" applyFont="1" applyBorder="1" applyAlignment="1">
      <alignment horizontal="center" vertical="center"/>
    </xf>
    <xf numFmtId="10" fontId="27" fillId="6" borderId="92" xfId="0" applyNumberFormat="1" applyFont="1" applyFill="1" applyBorder="1" applyAlignment="1">
      <alignment horizontal="center" vertical="center"/>
    </xf>
    <xf numFmtId="168" fontId="27" fillId="0" borderId="91" xfId="0" applyNumberFormat="1" applyFont="1" applyBorder="1" applyAlignment="1">
      <alignment horizontal="center" vertical="center"/>
    </xf>
    <xf numFmtId="168" fontId="27" fillId="0" borderId="128" xfId="0" applyNumberFormat="1" applyFont="1" applyBorder="1" applyAlignment="1">
      <alignment horizontal="center" vertical="center"/>
    </xf>
    <xf numFmtId="168" fontId="27" fillId="0" borderId="126" xfId="0" applyNumberFormat="1" applyFont="1" applyBorder="1" applyAlignment="1">
      <alignment horizontal="center" vertical="center"/>
    </xf>
    <xf numFmtId="1" fontId="27" fillId="0" borderId="92" xfId="0" applyNumberFormat="1" applyFont="1" applyBorder="1" applyAlignment="1">
      <alignment horizontal="center" vertical="center"/>
    </xf>
    <xf numFmtId="1" fontId="27" fillId="0" borderId="126" xfId="0" applyNumberFormat="1" applyFont="1" applyBorder="1" applyAlignment="1">
      <alignment horizontal="center" vertical="center"/>
    </xf>
    <xf numFmtId="1" fontId="27" fillId="0" borderId="97" xfId="0" applyNumberFormat="1" applyFont="1" applyBorder="1" applyAlignment="1">
      <alignment horizontal="center" vertical="center"/>
    </xf>
    <xf numFmtId="10" fontId="27" fillId="6" borderId="97" xfId="0" applyNumberFormat="1" applyFont="1" applyFill="1" applyBorder="1" applyAlignment="1">
      <alignment horizontal="center" vertical="center"/>
    </xf>
    <xf numFmtId="168" fontId="27" fillId="0" borderId="102" xfId="0" applyNumberFormat="1" applyFont="1" applyBorder="1" applyAlignment="1">
      <alignment horizontal="center" vertical="center"/>
    </xf>
    <xf numFmtId="1" fontId="27" fillId="6" borderId="92" xfId="0" applyNumberFormat="1" applyFont="1" applyFill="1" applyBorder="1" applyAlignment="1">
      <alignment horizontal="center" vertical="center"/>
    </xf>
    <xf numFmtId="1" fontId="27" fillId="6" borderId="126" xfId="0" applyNumberFormat="1" applyFont="1" applyFill="1" applyBorder="1" applyAlignment="1">
      <alignment horizontal="center" vertical="center"/>
    </xf>
    <xf numFmtId="1" fontId="27" fillId="6" borderId="97" xfId="0" applyNumberFormat="1" applyFont="1" applyFill="1" applyBorder="1" applyAlignment="1">
      <alignment horizontal="center" vertical="center"/>
    </xf>
    <xf numFmtId="3" fontId="27" fillId="6" borderId="166" xfId="0" applyNumberFormat="1" applyFont="1" applyFill="1" applyBorder="1" applyAlignment="1">
      <alignment horizontal="center" vertical="center"/>
    </xf>
    <xf numFmtId="3" fontId="27" fillId="6" borderId="109" xfId="0" applyNumberFormat="1" applyFont="1" applyFill="1" applyBorder="1" applyAlignment="1">
      <alignment horizontal="center" vertical="center"/>
    </xf>
    <xf numFmtId="3" fontId="27" fillId="0" borderId="126" xfId="0" applyNumberFormat="1" applyFont="1" applyBorder="1" applyAlignment="1">
      <alignment horizontal="center" vertical="center"/>
    </xf>
    <xf numFmtId="3" fontId="27" fillId="6" borderId="126" xfId="0" applyNumberFormat="1" applyFont="1" applyFill="1" applyBorder="1" applyAlignment="1">
      <alignment horizontal="center" vertical="center"/>
    </xf>
    <xf numFmtId="10" fontId="43" fillId="14" borderId="0" xfId="0" applyNumberFormat="1" applyFont="1" applyFill="1" applyAlignment="1">
      <alignment horizontal="center" vertical="center"/>
    </xf>
    <xf numFmtId="168" fontId="43" fillId="0" borderId="91" xfId="0" applyNumberFormat="1" applyFont="1" applyBorder="1" applyAlignment="1">
      <alignment horizontal="center" vertical="center"/>
    </xf>
    <xf numFmtId="168" fontId="41" fillId="0" borderId="95" xfId="0" applyNumberFormat="1" applyFont="1" applyBorder="1" applyAlignment="1">
      <alignment horizontal="center" vertical="center"/>
    </xf>
    <xf numFmtId="168" fontId="41" fillId="0" borderId="91" xfId="0" applyNumberFormat="1" applyFont="1" applyBorder="1" applyAlignment="1">
      <alignment horizontal="center" vertical="center"/>
    </xf>
    <xf numFmtId="168" fontId="41" fillId="0" borderId="124" xfId="0" applyNumberFormat="1" applyFont="1" applyBorder="1" applyAlignment="1">
      <alignment horizontal="center" vertical="center"/>
    </xf>
    <xf numFmtId="168" fontId="43" fillId="14" borderId="0" xfId="0" applyNumberFormat="1" applyFont="1" applyFill="1" applyAlignment="1">
      <alignment horizontal="center" vertical="center"/>
    </xf>
    <xf numFmtId="168" fontId="41" fillId="14" borderId="0" xfId="0" applyNumberFormat="1" applyFont="1" applyFill="1" applyAlignment="1">
      <alignment horizontal="center" vertical="center"/>
    </xf>
    <xf numFmtId="0" fontId="26" fillId="6" borderId="120" xfId="0" applyFont="1" applyFill="1" applyBorder="1" applyAlignment="1">
      <alignment horizontal="center" vertical="center" wrapText="1"/>
    </xf>
    <xf numFmtId="0" fontId="26" fillId="6" borderId="118" xfId="0" applyFont="1" applyFill="1" applyBorder="1" applyAlignment="1">
      <alignment horizontal="center" vertical="center" wrapText="1"/>
    </xf>
    <xf numFmtId="0" fontId="26" fillId="6" borderId="123" xfId="0" applyFont="1" applyFill="1" applyBorder="1" applyAlignment="1">
      <alignment horizontal="center" vertical="center" wrapText="1"/>
    </xf>
    <xf numFmtId="0" fontId="26" fillId="0" borderId="103" xfId="0" applyFont="1" applyBorder="1" applyAlignment="1">
      <alignment horizontal="center" vertical="center" wrapText="1"/>
    </xf>
    <xf numFmtId="0" fontId="26" fillId="0" borderId="96" xfId="0" applyFont="1" applyBorder="1" applyAlignment="1">
      <alignment horizontal="center" vertical="center" wrapText="1"/>
    </xf>
    <xf numFmtId="0" fontId="26" fillId="0" borderId="105" xfId="0" applyFont="1" applyBorder="1" applyAlignment="1">
      <alignment horizontal="center" vertical="center" wrapText="1"/>
    </xf>
    <xf numFmtId="0" fontId="26" fillId="6" borderId="103" xfId="0" applyFont="1" applyFill="1" applyBorder="1" applyAlignment="1">
      <alignment horizontal="center" vertical="center" wrapText="1"/>
    </xf>
    <xf numFmtId="0" fontId="26" fillId="6" borderId="96" xfId="0" applyFont="1" applyFill="1" applyBorder="1" applyAlignment="1">
      <alignment horizontal="center" vertical="center" wrapText="1"/>
    </xf>
    <xf numFmtId="0" fontId="26" fillId="6" borderId="105" xfId="0" applyFont="1" applyFill="1" applyBorder="1" applyAlignment="1">
      <alignment horizontal="center" vertical="center" wrapText="1"/>
    </xf>
    <xf numFmtId="0" fontId="26" fillId="0" borderId="89" xfId="0" applyFont="1" applyBorder="1" applyAlignment="1">
      <alignment horizontal="center" vertical="center" wrapText="1"/>
    </xf>
    <xf numFmtId="0" fontId="26" fillId="0" borderId="88" xfId="0" applyFont="1" applyBorder="1" applyAlignment="1">
      <alignment horizontal="center" vertical="center" wrapText="1"/>
    </xf>
    <xf numFmtId="0" fontId="26" fillId="0" borderId="101" xfId="0" applyFont="1" applyBorder="1" applyAlignment="1">
      <alignment horizontal="center" vertical="center" wrapText="1"/>
    </xf>
    <xf numFmtId="0" fontId="26" fillId="0" borderId="91" xfId="0" applyFont="1" applyBorder="1" applyAlignment="1">
      <alignment horizontal="center" vertical="center" wrapText="1"/>
    </xf>
    <xf numFmtId="0" fontId="26" fillId="0" borderId="120" xfId="0" applyFont="1" applyBorder="1" applyAlignment="1">
      <alignment horizontal="center" vertical="center" wrapText="1"/>
    </xf>
    <xf numFmtId="0" fontId="26" fillId="0" borderId="118" xfId="0" applyFont="1" applyBorder="1" applyAlignment="1">
      <alignment horizontal="center" vertical="center" wrapText="1"/>
    </xf>
    <xf numFmtId="0" fontId="26" fillId="0" borderId="123" xfId="0" applyFont="1" applyBorder="1" applyAlignment="1">
      <alignment horizontal="center" vertical="center" wrapText="1"/>
    </xf>
    <xf numFmtId="0" fontId="26" fillId="6" borderId="89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6" fillId="0" borderId="92" xfId="0" applyFont="1" applyBorder="1" applyAlignment="1">
      <alignment horizontal="center" vertical="center" wrapText="1"/>
    </xf>
    <xf numFmtId="0" fontId="26" fillId="6" borderId="111" xfId="0" applyFont="1" applyFill="1" applyBorder="1" applyAlignment="1">
      <alignment horizontal="center" vertical="center" wrapText="1"/>
    </xf>
    <xf numFmtId="0" fontId="26" fillId="6" borderId="115" xfId="0" applyFont="1" applyFill="1" applyBorder="1" applyAlignment="1">
      <alignment horizontal="center" vertical="center" wrapText="1"/>
    </xf>
    <xf numFmtId="0" fontId="26" fillId="6" borderId="92" xfId="0" applyFont="1" applyFill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 wrapText="1"/>
    </xf>
    <xf numFmtId="0" fontId="29" fillId="0" borderId="82" xfId="0" applyFont="1" applyBorder="1" applyAlignment="1">
      <alignment horizontal="center" vertical="center" wrapText="1"/>
    </xf>
    <xf numFmtId="0" fontId="29" fillId="0" borderId="100" xfId="0" applyFont="1" applyBorder="1" applyAlignment="1">
      <alignment horizontal="center" vertical="center" wrapText="1"/>
    </xf>
    <xf numFmtId="0" fontId="26" fillId="0" borderId="121" xfId="0" applyFont="1" applyBorder="1" applyAlignment="1">
      <alignment horizontal="center" vertical="center" wrapText="1"/>
    </xf>
    <xf numFmtId="0" fontId="26" fillId="6" borderId="107" xfId="0" applyFont="1" applyFill="1" applyBorder="1" applyAlignment="1">
      <alignment horizontal="center" vertical="center" wrapText="1"/>
    </xf>
    <xf numFmtId="0" fontId="26" fillId="6" borderId="109" xfId="0" applyFont="1" applyFill="1" applyBorder="1" applyAlignment="1">
      <alignment horizontal="center" vertical="center" wrapText="1"/>
    </xf>
    <xf numFmtId="0" fontId="0" fillId="0" borderId="121" xfId="0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2" fillId="0" borderId="119" xfId="0" applyFont="1" applyBorder="1" applyAlignment="1">
      <alignment horizontal="center" vertical="center"/>
    </xf>
    <xf numFmtId="0" fontId="2" fillId="0" borderId="125" xfId="0" applyFont="1" applyBorder="1" applyAlignment="1">
      <alignment horizontal="center" vertical="center"/>
    </xf>
    <xf numFmtId="0" fontId="2" fillId="0" borderId="124" xfId="0" applyFont="1" applyBorder="1" applyAlignment="1">
      <alignment horizontal="center" vertical="center"/>
    </xf>
    <xf numFmtId="0" fontId="0" fillId="0" borderId="124" xfId="0" applyBorder="1" applyAlignment="1">
      <alignment horizontal="center" vertical="center"/>
    </xf>
    <xf numFmtId="168" fontId="2" fillId="2" borderId="0" xfId="0" applyNumberFormat="1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top" wrapText="1"/>
    </xf>
    <xf numFmtId="0" fontId="14" fillId="0" borderId="132" xfId="0" applyFont="1" applyBorder="1" applyAlignment="1">
      <alignment horizontal="center" vertical="center" wrapText="1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14" fillId="0" borderId="77" xfId="0" applyFont="1" applyBorder="1" applyAlignment="1">
      <alignment horizontal="center" vertical="center"/>
    </xf>
    <xf numFmtId="0" fontId="14" fillId="0" borderId="78" xfId="0" applyFont="1" applyBorder="1" applyAlignment="1">
      <alignment horizontal="center" vertical="center"/>
    </xf>
    <xf numFmtId="0" fontId="14" fillId="0" borderId="79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154" xfId="0" applyFont="1" applyBorder="1" applyAlignment="1">
      <alignment horizontal="center" vertical="center"/>
    </xf>
    <xf numFmtId="0" fontId="4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4" fillId="0" borderId="150" xfId="0" applyFont="1" applyBorder="1" applyAlignment="1">
      <alignment horizontal="center" vertical="center"/>
    </xf>
    <xf numFmtId="0" fontId="5" fillId="0" borderId="15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52" xfId="0" applyFont="1" applyBorder="1" applyAlignment="1">
      <alignment horizontal="center" vertical="center"/>
    </xf>
    <xf numFmtId="0" fontId="2" fillId="0" borderId="153" xfId="0" applyFont="1" applyBorder="1" applyAlignment="1">
      <alignment horizontal="center" vertical="center"/>
    </xf>
    <xf numFmtId="0" fontId="2" fillId="0" borderId="15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15" fillId="0" borderId="61" xfId="0" applyFont="1" applyBorder="1" applyAlignment="1">
      <alignment horizontal="center" vertical="center" wrapText="1"/>
    </xf>
    <xf numFmtId="0" fontId="15" fillId="0" borderId="60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" fillId="0" borderId="88" xfId="0" applyFont="1" applyBorder="1" applyAlignment="1">
      <alignment horizontal="center" vertical="center" wrapText="1"/>
    </xf>
    <xf numFmtId="9" fontId="2" fillId="0" borderId="16" xfId="1" applyNumberFormat="1" applyFont="1" applyFill="1" applyBorder="1" applyAlignment="1">
      <alignment horizontal="center" vertical="center" wrapText="1"/>
    </xf>
    <xf numFmtId="44" fontId="2" fillId="0" borderId="54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7" fontId="14" fillId="0" borderId="57" xfId="0" applyNumberFormat="1" applyFont="1" applyBorder="1" applyAlignment="1">
      <alignment horizontal="center" vertical="center" wrapText="1"/>
    </xf>
    <xf numFmtId="167" fontId="14" fillId="0" borderId="55" xfId="0" applyNumberFormat="1" applyFont="1" applyBorder="1" applyAlignment="1">
      <alignment horizontal="center" vertical="center" wrapText="1"/>
    </xf>
    <xf numFmtId="44" fontId="2" fillId="0" borderId="16" xfId="1" applyNumberFormat="1" applyFont="1" applyFill="1" applyBorder="1" applyAlignment="1">
      <alignment horizontal="center" vertical="center" wrapText="1"/>
    </xf>
    <xf numFmtId="44" fontId="14" fillId="0" borderId="16" xfId="1" applyNumberFormat="1" applyFont="1" applyFill="1" applyBorder="1" applyAlignment="1">
      <alignment horizontal="center" vertical="center" wrapText="1"/>
    </xf>
    <xf numFmtId="44" fontId="14" fillId="0" borderId="54" xfId="1" applyNumberFormat="1" applyFont="1" applyFill="1" applyBorder="1" applyAlignment="1">
      <alignment horizontal="center" vertical="center" wrapText="1"/>
    </xf>
    <xf numFmtId="44" fontId="2" fillId="0" borderId="56" xfId="1" applyNumberFormat="1" applyFont="1" applyFill="1" applyBorder="1" applyAlignment="1">
      <alignment horizontal="center" vertical="center" wrapText="1"/>
    </xf>
    <xf numFmtId="44" fontId="2" fillId="0" borderId="53" xfId="1" applyNumberFormat="1" applyFont="1" applyFill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" fillId="0" borderId="147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0" borderId="146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40" fontId="2" fillId="0" borderId="20" xfId="1" applyNumberFormat="1" applyFont="1" applyFill="1" applyBorder="1" applyAlignment="1">
      <alignment horizontal="center" vertical="center" wrapText="1"/>
    </xf>
    <xf numFmtId="40" fontId="2" fillId="0" borderId="54" xfId="1" applyNumberFormat="1" applyFont="1" applyFill="1" applyBorder="1" applyAlignment="1">
      <alignment horizontal="center" vertical="center" wrapText="1"/>
    </xf>
    <xf numFmtId="44" fontId="2" fillId="0" borderId="174" xfId="1" applyNumberFormat="1" applyFont="1" applyFill="1" applyBorder="1" applyAlignment="1">
      <alignment horizontal="center" vertical="center" wrapText="1"/>
    </xf>
    <xf numFmtId="44" fontId="2" fillId="0" borderId="199" xfId="1" applyNumberFormat="1" applyFont="1" applyFill="1" applyBorder="1" applyAlignment="1">
      <alignment horizontal="center" vertical="center" wrapText="1"/>
    </xf>
    <xf numFmtId="44" fontId="2" fillId="0" borderId="201" xfId="1" applyNumberFormat="1" applyFont="1" applyFill="1" applyBorder="1" applyAlignment="1">
      <alignment horizontal="center" vertical="center" wrapText="1"/>
    </xf>
    <xf numFmtId="44" fontId="2" fillId="0" borderId="194" xfId="1" applyNumberFormat="1" applyFont="1" applyFill="1" applyBorder="1" applyAlignment="1">
      <alignment horizontal="center" vertical="center" wrapText="1"/>
    </xf>
    <xf numFmtId="44" fontId="2" fillId="0" borderId="184" xfId="1" applyNumberFormat="1" applyFont="1" applyFill="1" applyBorder="1" applyAlignment="1">
      <alignment horizontal="center" vertical="center" wrapText="1"/>
    </xf>
    <xf numFmtId="44" fontId="2" fillId="0" borderId="193" xfId="1" applyNumberFormat="1" applyFont="1" applyFill="1" applyBorder="1" applyAlignment="1">
      <alignment horizontal="center" vertical="center" wrapText="1"/>
    </xf>
    <xf numFmtId="167" fontId="2" fillId="0" borderId="69" xfId="0" applyNumberFormat="1" applyFont="1" applyBorder="1" applyAlignment="1">
      <alignment horizontal="center" vertical="center" wrapText="1"/>
    </xf>
    <xf numFmtId="167" fontId="2" fillId="0" borderId="21" xfId="0" applyNumberFormat="1" applyFont="1" applyBorder="1" applyAlignment="1">
      <alignment horizontal="center" vertical="center" wrapText="1"/>
    </xf>
    <xf numFmtId="167" fontId="2" fillId="0" borderId="59" xfId="0" applyNumberFormat="1" applyFont="1" applyBorder="1" applyAlignment="1">
      <alignment horizontal="center" vertical="center" wrapText="1"/>
    </xf>
    <xf numFmtId="167" fontId="2" fillId="0" borderId="76" xfId="0" applyNumberFormat="1" applyFont="1" applyBorder="1" applyAlignment="1">
      <alignment horizontal="center" vertical="center" wrapText="1"/>
    </xf>
    <xf numFmtId="9" fontId="13" fillId="0" borderId="72" xfId="4" applyFont="1" applyFill="1" applyBorder="1" applyAlignment="1">
      <alignment horizontal="center" vertical="center" wrapText="1"/>
    </xf>
    <xf numFmtId="9" fontId="13" fillId="0" borderId="51" xfId="4" applyFont="1" applyFill="1" applyBorder="1" applyAlignment="1">
      <alignment horizontal="center" vertical="center" wrapText="1"/>
    </xf>
    <xf numFmtId="9" fontId="13" fillId="0" borderId="50" xfId="4" applyFont="1" applyFill="1" applyBorder="1" applyAlignment="1">
      <alignment horizontal="center" vertical="center" wrapText="1"/>
    </xf>
    <xf numFmtId="9" fontId="13" fillId="0" borderId="73" xfId="4" applyFont="1" applyFill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 wrapText="1"/>
    </xf>
    <xf numFmtId="167" fontId="14" fillId="0" borderId="164" xfId="0" applyNumberFormat="1" applyFont="1" applyBorder="1" applyAlignment="1">
      <alignment horizontal="center" vertical="center" wrapText="1"/>
    </xf>
    <xf numFmtId="44" fontId="14" fillId="0" borderId="174" xfId="1" applyNumberFormat="1" applyFont="1" applyFill="1" applyBorder="1" applyAlignment="1">
      <alignment horizontal="center" vertical="center" wrapText="1"/>
    </xf>
    <xf numFmtId="44" fontId="14" fillId="0" borderId="199" xfId="1" applyNumberFormat="1" applyFont="1" applyFill="1" applyBorder="1" applyAlignment="1">
      <alignment horizontal="center" vertical="center" wrapText="1"/>
    </xf>
    <xf numFmtId="44" fontId="2" fillId="0" borderId="202" xfId="1" applyNumberFormat="1" applyFont="1" applyFill="1" applyBorder="1" applyAlignment="1">
      <alignment horizontal="center" vertical="center" wrapText="1"/>
    </xf>
    <xf numFmtId="44" fontId="2" fillId="0" borderId="200" xfId="1" applyNumberFormat="1" applyFont="1" applyFill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95" xfId="0" applyFont="1" applyBorder="1" applyAlignment="1">
      <alignment horizontal="center" vertical="center" wrapText="1"/>
    </xf>
    <xf numFmtId="0" fontId="15" fillId="0" borderId="59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9" fontId="2" fillId="0" borderId="174" xfId="1" applyNumberFormat="1" applyFont="1" applyFill="1" applyBorder="1" applyAlignment="1">
      <alignment horizontal="center" vertical="center" wrapText="1"/>
    </xf>
    <xf numFmtId="9" fontId="2" fillId="0" borderId="199" xfId="1" applyNumberFormat="1" applyFont="1" applyFill="1" applyBorder="1" applyAlignment="1">
      <alignment horizontal="center" vertical="center" wrapText="1"/>
    </xf>
    <xf numFmtId="0" fontId="26" fillId="6" borderId="120" xfId="0" applyFont="1" applyFill="1" applyBorder="1" applyAlignment="1">
      <alignment horizontal="center" vertical="center"/>
    </xf>
    <xf numFmtId="0" fontId="26" fillId="6" borderId="118" xfId="0" applyFont="1" applyFill="1" applyBorder="1" applyAlignment="1">
      <alignment horizontal="center" vertical="center"/>
    </xf>
    <xf numFmtId="0" fontId="26" fillId="6" borderId="123" xfId="0" applyFont="1" applyFill="1" applyBorder="1" applyAlignment="1">
      <alignment horizontal="center" vertical="center"/>
    </xf>
    <xf numFmtId="0" fontId="26" fillId="6" borderId="103" xfId="0" applyFont="1" applyFill="1" applyBorder="1" applyAlignment="1">
      <alignment horizontal="center" vertical="center"/>
    </xf>
    <xf numFmtId="0" fontId="31" fillId="6" borderId="107" xfId="0" applyFont="1" applyFill="1" applyBorder="1" applyAlignment="1">
      <alignment horizontal="center"/>
    </xf>
    <xf numFmtId="0" fontId="26" fillId="0" borderId="103" xfId="0" applyFont="1" applyBorder="1" applyAlignment="1">
      <alignment horizontal="center" vertical="center"/>
    </xf>
    <xf numFmtId="0" fontId="26" fillId="0" borderId="118" xfId="0" applyFont="1" applyBorder="1" applyAlignment="1">
      <alignment horizontal="center" vertical="center"/>
    </xf>
    <xf numFmtId="0" fontId="31" fillId="0" borderId="98" xfId="0" applyFont="1" applyBorder="1" applyAlignment="1">
      <alignment horizontal="center"/>
    </xf>
    <xf numFmtId="0" fontId="26" fillId="0" borderId="120" xfId="0" applyFont="1" applyBorder="1" applyAlignment="1">
      <alignment horizontal="center" vertical="center"/>
    </xf>
    <xf numFmtId="0" fontId="26" fillId="0" borderId="123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26" fillId="0" borderId="115" xfId="0" applyFont="1" applyBorder="1" applyAlignment="1">
      <alignment horizontal="center" vertical="center" wrapText="1"/>
    </xf>
    <xf numFmtId="0" fontId="26" fillId="0" borderId="116" xfId="0" applyFont="1" applyBorder="1" applyAlignment="1">
      <alignment horizontal="center" vertical="center" wrapText="1"/>
    </xf>
    <xf numFmtId="0" fontId="26" fillId="0" borderId="111" xfId="0" applyFont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29" fillId="0" borderId="112" xfId="0" applyFont="1" applyBorder="1" applyAlignment="1">
      <alignment horizontal="center" vertical="center" wrapText="1"/>
    </xf>
    <xf numFmtId="0" fontId="29" fillId="0" borderId="113" xfId="0" applyFont="1" applyBorder="1" applyAlignment="1">
      <alignment horizontal="center" vertical="center" wrapText="1"/>
    </xf>
    <xf numFmtId="0" fontId="29" fillId="0" borderId="114" xfId="0" applyFont="1" applyBorder="1" applyAlignment="1">
      <alignment horizontal="center" vertical="center" wrapText="1"/>
    </xf>
    <xf numFmtId="0" fontId="4" fillId="0" borderId="168" xfId="0" applyFont="1" applyBorder="1" applyAlignment="1">
      <alignment horizontal="center" vertical="center" wrapText="1"/>
    </xf>
    <xf numFmtId="0" fontId="2" fillId="0" borderId="171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145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8" fontId="2" fillId="0" borderId="77" xfId="0" applyNumberFormat="1" applyFont="1" applyBorder="1" applyAlignment="1">
      <alignment horizontal="center" vertical="center"/>
    </xf>
    <xf numFmtId="168" fontId="2" fillId="0" borderId="78" xfId="0" applyNumberFormat="1" applyFont="1" applyBorder="1" applyAlignment="1">
      <alignment horizontal="center" vertical="center"/>
    </xf>
    <xf numFmtId="168" fontId="2" fillId="0" borderId="79" xfId="0" applyNumberFormat="1" applyFont="1" applyBorder="1" applyAlignment="1">
      <alignment horizontal="center" vertical="center"/>
    </xf>
    <xf numFmtId="168" fontId="2" fillId="0" borderId="169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textRotation="90" wrapText="1"/>
    </xf>
    <xf numFmtId="0" fontId="4" fillId="0" borderId="20" xfId="0" applyFont="1" applyBorder="1" applyAlignment="1">
      <alignment horizontal="center" vertical="center" textRotation="90" wrapText="1"/>
    </xf>
    <xf numFmtId="0" fontId="4" fillId="0" borderId="28" xfId="0" applyFont="1" applyBorder="1" applyAlignment="1">
      <alignment horizontal="center" vertical="center" textRotation="90" wrapText="1"/>
    </xf>
    <xf numFmtId="0" fontId="2" fillId="0" borderId="33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7" fillId="0" borderId="0" xfId="0" applyFont="1" applyAlignment="1"/>
    <xf numFmtId="0" fontId="28" fillId="0" borderId="0" xfId="0" applyFont="1" applyAlignment="1"/>
    <xf numFmtId="10" fontId="27" fillId="0" borderId="0" xfId="0" applyNumberFormat="1" applyFont="1" applyAlignment="1"/>
    <xf numFmtId="0" fontId="27" fillId="0" borderId="86" xfId="0" applyFont="1" applyBorder="1" applyAlignment="1"/>
    <xf numFmtId="0" fontId="28" fillId="0" borderId="86" xfId="0" applyFont="1" applyBorder="1" applyAlignment="1"/>
    <xf numFmtId="10" fontId="28" fillId="0" borderId="0" xfId="0" applyNumberFormat="1" applyFont="1" applyAlignment="1"/>
    <xf numFmtId="0" fontId="20" fillId="0" borderId="0" xfId="0" applyFont="1" applyAlignment="1"/>
    <xf numFmtId="0" fontId="0" fillId="0" borderId="0" xfId="0" applyAlignment="1"/>
  </cellXfs>
  <cellStyles count="6">
    <cellStyle name="Moeda" xfId="5" builtinId="4"/>
    <cellStyle name="Normal" xfId="0" builtinId="0"/>
    <cellStyle name="Normal 2" xfId="2" xr:uid="{C6BE6FAB-30AD-4CE1-A536-CB97E80EBA17}"/>
    <cellStyle name="Percentagem" xfId="4" builtinId="5"/>
    <cellStyle name="Porcentagem 2" xfId="3" xr:uid="{CED36B6D-45F9-48D7-ABA7-FF916EEA452B}"/>
    <cellStyle name="Vírgula" xfId="1" builtinId="3"/>
  </cellStyles>
  <dxfs count="44"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theme="0"/>
      </font>
    </dxf>
  </dxfs>
  <tableStyles count="0" defaultTableStyle="TableStyleMedium2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Evolução das Vendas GLOBAL 2025 x 2026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{"Base 2025"}</c:f>
              <c:strCache>
                <c:ptCount val="1"/>
                <c:pt idx="0">
                  <c:v>Base 2025</c:v>
                </c:pt>
              </c:strCache>
            </c:strRef>
          </c:tx>
          <c:marker>
            <c:spPr>
              <a:solidFill>
                <a:srgbClr val="FF0000"/>
              </a:solidFill>
              <a:ln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'Meta x Real de Vendas  Global'!$B$7:$B$18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'Evolução de Vendas Mês GLOBAL'!$D$22:$D$33</c:f>
              <c:numCache>
                <c:formatCode>#,##0.00</c:formatCode>
                <c:ptCount val="12"/>
                <c:pt idx="0">
                  <c:v>1120797.95</c:v>
                </c:pt>
                <c:pt idx="1">
                  <c:v>1402392.43</c:v>
                </c:pt>
                <c:pt idx="2">
                  <c:v>1565806.94</c:v>
                </c:pt>
                <c:pt idx="3">
                  <c:v>1485920.63</c:v>
                </c:pt>
                <c:pt idx="4">
                  <c:v>1946328.99</c:v>
                </c:pt>
                <c:pt idx="5">
                  <c:v>1589981.45</c:v>
                </c:pt>
                <c:pt idx="6">
                  <c:v>2106751.12</c:v>
                </c:pt>
                <c:pt idx="7">
                  <c:v>1874283.47</c:v>
                </c:pt>
                <c:pt idx="8">
                  <c:v>1834870.12</c:v>
                </c:pt>
                <c:pt idx="9">
                  <c:v>1807004.02</c:v>
                </c:pt>
                <c:pt idx="10">
                  <c:v>1761119.86</c:v>
                </c:pt>
                <c:pt idx="11">
                  <c:v>1460752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5-43CF-B5C4-74FC79605D64}"/>
            </c:ext>
          </c:extLst>
        </c:ser>
        <c:ser>
          <c:idx val="1"/>
          <c:order val="1"/>
          <c:tx>
            <c:strRef>
              <c:f>{"Real 2026"}</c:f>
              <c:strCache>
                <c:ptCount val="1"/>
                <c:pt idx="0">
                  <c:v>Real 2026</c:v>
                </c:pt>
              </c:strCache>
            </c:strRef>
          </c:tx>
          <c:marker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'Meta x Real de Vendas  Global'!$B$7:$B$18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'Evolução de Vendas Mês GLOBAL'!$E$22:$E$33</c:f>
              <c:numCache>
                <c:formatCode>#,##0.00</c:formatCode>
                <c:ptCount val="12"/>
                <c:pt idx="0">
                  <c:v>1152212</c:v>
                </c:pt>
                <c:pt idx="1">
                  <c:v>1234828.5899999999</c:v>
                </c:pt>
                <c:pt idx="2">
                  <c:v>1766523.8900000001</c:v>
                </c:pt>
                <c:pt idx="3">
                  <c:v>1870979.58</c:v>
                </c:pt>
                <c:pt idx="4">
                  <c:v>1650851.7899999998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75-43CF-B5C4-74FC79605D64}"/>
            </c:ext>
          </c:extLst>
        </c:ser>
        <c:ser>
          <c:idx val="2"/>
          <c:order val="2"/>
          <c:tx>
            <c:strRef>
              <c:f>'Evolução de Vendas Mês GLOBAL'!$F$21</c:f>
              <c:strCache>
                <c:ptCount val="1"/>
                <c:pt idx="0">
                  <c:v>Evolução</c:v>
                </c:pt>
              </c:strCache>
            </c:strRef>
          </c:tx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1">
                      <a:solidFill>
                        <a:srgbClr val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2963-4BED-9DCD-1A71247A7B4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1">
                      <a:solidFill>
                        <a:srgbClr val="FF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963-4BED-9DCD-1A71247A7B4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1">
                      <a:solidFill>
                        <a:srgbClr val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2963-4BED-9DCD-1A71247A7B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'Meta x Real de Vendas  Global'!$B$7:$B$18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'Evolução de Vendas Mês GLOBAL'!$F$22:$F$33</c:f>
              <c:numCache>
                <c:formatCode>#,##0.00</c:formatCode>
                <c:ptCount val="12"/>
                <c:pt idx="0">
                  <c:v>31414.050000000047</c:v>
                </c:pt>
                <c:pt idx="1">
                  <c:v>-167563.84000000008</c:v>
                </c:pt>
                <c:pt idx="2">
                  <c:v>200716.95000000019</c:v>
                </c:pt>
                <c:pt idx="3">
                  <c:v>385058.95000000019</c:v>
                </c:pt>
                <c:pt idx="4">
                  <c:v>-295477.20000000019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75-43CF-B5C4-74FC79605D6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9275760"/>
        <c:axId val="1359285552"/>
      </c:lineChart>
      <c:catAx>
        <c:axId val="135927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9285552"/>
        <c:crosses val="autoZero"/>
        <c:auto val="1"/>
        <c:lblAlgn val="ctr"/>
        <c:lblOffset val="100"/>
        <c:noMultiLvlLbl val="1"/>
      </c:catAx>
      <c:valAx>
        <c:axId val="1359285552"/>
        <c:scaling>
          <c:orientation val="minMax"/>
        </c:scaling>
        <c:delete val="1"/>
        <c:axPos val="l"/>
        <c:numFmt formatCode="#,##0.00" sourceLinked="1"/>
        <c:majorTickMark val="out"/>
        <c:minorTickMark val="none"/>
        <c:tickLblPos val="nextTo"/>
        <c:crossAx val="135927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242837131697333"/>
          <c:y val="0.8751745052138753"/>
          <c:w val="0.45571399203514862"/>
          <c:h val="9.7798467759097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Faturamento por Categoria 2026</a:t>
            </a:r>
          </a:p>
        </c:rich>
      </c:tx>
      <c:layout>
        <c:manualLayout>
          <c:xMode val="edge"/>
          <c:yMode val="edge"/>
          <c:x val="0.387577417612056"/>
          <c:y val="2.73825063595360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073553027615285"/>
          <c:y val="0.18866525103037274"/>
          <c:w val="0.52290277251842499"/>
          <c:h val="0.8113347489696272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E7A-4148-9C95-A6DAA14DF6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C4-4B7B-96A0-9B2E4C993D2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7A-4148-9C95-A6DAA14DF6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('Meta x Real de Vendas  Global'!$E$6,'Meta x Real de Vendas  Global'!$F$6,'Meta x Real de Vendas  Global'!$G$6)</c:f>
              <c:strCache>
                <c:ptCount val="3"/>
                <c:pt idx="0">
                  <c:v>Fardin</c:v>
                </c:pt>
                <c:pt idx="1">
                  <c:v>Privaty Label</c:v>
                </c:pt>
                <c:pt idx="2">
                  <c:v>Terceiros</c:v>
                </c:pt>
              </c:strCache>
            </c:strRef>
          </c:cat>
          <c:val>
            <c:numRef>
              <c:f>('Meta x Real de Vendas  Global'!$E$20,'Meta x Real de Vendas  Global'!$F$20,'Meta x Real de Vendas  Global'!$G$20)</c:f>
              <c:numCache>
                <c:formatCode>_("R$"* #,##0.00_);_("R$"* \(#,##0.00\);_("R$"* "-"??_);_(@_)</c:formatCode>
                <c:ptCount val="3"/>
                <c:pt idx="0">
                  <c:v>2454285.0699999998</c:v>
                </c:pt>
                <c:pt idx="1">
                  <c:v>4594224.9000000004</c:v>
                </c:pt>
                <c:pt idx="2">
                  <c:v>626885.88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A-4148-9C95-A6DAA14DF66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0C4-4B7B-96A0-9B2E4C993D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0C4-4B7B-96A0-9B2E4C993D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0C4-4B7B-96A0-9B2E4C993D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('Meta x Real de Vendas  Global'!$E$6,'Meta x Real de Vendas  Global'!$F$6,'Meta x Real de Vendas  Global'!$G$6)</c:f>
              <c:strCache>
                <c:ptCount val="3"/>
                <c:pt idx="0">
                  <c:v>Fardin</c:v>
                </c:pt>
                <c:pt idx="1">
                  <c:v>Privaty Label</c:v>
                </c:pt>
                <c:pt idx="2">
                  <c:v>Terceiros</c:v>
                </c:pt>
              </c:strCache>
            </c:strRef>
          </c:cat>
          <c:val>
            <c:numRef>
              <c:f>('Meta x Real de Vendas  Global'!$E$21,'Meta x Real de Vendas  Global'!$F$21,'Meta x Real de Vendas  Global'!$G$21)</c:f>
              <c:numCache>
                <c:formatCode>_("R$"* #,##0.00_);_("R$"* \(#,##0.00\);_("R$"* "-"??_);_(@_)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CE7A-4148-9C95-A6DAA14DF6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Meta X Real de Vendas Geral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Resultado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'Meta x Real de Vendas  Global'!$B$28:$B$39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'Meta x Real de Vendas  Global'!$D$28:$D$39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1870979.58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3-4A9C-9D82-6E9A667246E3}"/>
            </c:ext>
          </c:extLst>
        </c:ser>
        <c:ser>
          <c:idx val="2"/>
          <c:order val="2"/>
          <c:tx>
            <c:v>Resultado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'Meta x Real de Vendas  Global'!$B$28:$B$39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'Meta x Real de Vendas  Global'!$E$28:$E$39</c:f>
              <c:numCache>
                <c:formatCode>_("R$"* #,##0.00_);_("R$"* \(#,##0.00\);_("R$"* "-"??_);_(@_)</c:formatCode>
                <c:ptCount val="12"/>
                <c:pt idx="0">
                  <c:v>1152212</c:v>
                </c:pt>
                <c:pt idx="1">
                  <c:v>1234828.5899999999</c:v>
                </c:pt>
                <c:pt idx="2">
                  <c:v>1766523.8900000001</c:v>
                </c:pt>
                <c:pt idx="3">
                  <c:v>0</c:v>
                </c:pt>
                <c:pt idx="4">
                  <c:v>1650851.7899999998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83-4A9C-9D82-6E9A66724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3973376"/>
        <c:axId val="1573971936"/>
      </c:barChart>
      <c:lineChart>
        <c:grouping val="standard"/>
        <c:varyColors val="0"/>
        <c:ser>
          <c:idx val="0"/>
          <c:order val="0"/>
          <c:tx>
            <c:strRef>
              <c:f>'Meta x Real de Vendas  Global'!$C$27</c:f>
              <c:strCache>
                <c:ptCount val="1"/>
                <c:pt idx="0">
                  <c:v>Meta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'Meta x Real de Vendas  Global'!$B$28:$B$39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'Meta x Real de Vendas  Global'!$C$28:$C$39</c:f>
              <c:numCache>
                <c:formatCode>_("R$"* #,##0.00_);_("R$"* \(#,##0.00\);_("R$"* "-"??_);_(@_)</c:formatCode>
                <c:ptCount val="12"/>
                <c:pt idx="0">
                  <c:v>1290486.75963</c:v>
                </c:pt>
                <c:pt idx="1">
                  <c:v>1614714.6439019998</c:v>
                </c:pt>
                <c:pt idx="2">
                  <c:v>1802870.110716</c:v>
                </c:pt>
                <c:pt idx="3">
                  <c:v>1844027.50183</c:v>
                </c:pt>
                <c:pt idx="4">
                  <c:v>2100000</c:v>
                </c:pt>
                <c:pt idx="5">
                  <c:v>2288561.2594499998</c:v>
                </c:pt>
                <c:pt idx="6">
                  <c:v>2816094.2221039999</c:v>
                </c:pt>
                <c:pt idx="7">
                  <c:v>2505354.7143489998</c:v>
                </c:pt>
                <c:pt idx="8">
                  <c:v>2452670.8894040002</c:v>
                </c:pt>
                <c:pt idx="9">
                  <c:v>2359452.8176275999</c:v>
                </c:pt>
                <c:pt idx="10">
                  <c:v>2298930.6428467999</c:v>
                </c:pt>
                <c:pt idx="11">
                  <c:v>1906836.44576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83-4A9C-9D82-6E9A66724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973376"/>
        <c:axId val="1573971936"/>
      </c:lineChart>
      <c:catAx>
        <c:axId val="15739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3971936"/>
        <c:crosses val="autoZero"/>
        <c:auto val="1"/>
        <c:lblAlgn val="ctr"/>
        <c:lblOffset val="100"/>
        <c:noMultiLvlLbl val="0"/>
      </c:catAx>
      <c:valAx>
        <c:axId val="157397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397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800" b="1">
                <a:solidFill>
                  <a:sysClr val="windowText" lastClr="000000"/>
                </a:solidFill>
              </a:rPr>
              <a:t>Vendas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R$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'Meta x Real de Vendas  Global'!$B$7:$B$18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'Meta x Real de Vendas  Global'!$D$7:$D$18</c:f>
              <c:numCache>
                <c:formatCode>_("R$"* #,##0.00_);_("R$"* \(#,##0.00\);_("R$"* "-"??_);_(@_)</c:formatCode>
                <c:ptCount val="12"/>
                <c:pt idx="0">
                  <c:v>1152212</c:v>
                </c:pt>
                <c:pt idx="1">
                  <c:v>1234828.5899999999</c:v>
                </c:pt>
                <c:pt idx="2">
                  <c:v>1766523.8900000001</c:v>
                </c:pt>
                <c:pt idx="3">
                  <c:v>1870979.58</c:v>
                </c:pt>
                <c:pt idx="4">
                  <c:v>1650851.7899999998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21E-4088-AFB2-CC5D951849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5845887"/>
        <c:axId val="231264623"/>
      </c:lineChart>
      <c:catAx>
        <c:axId val="24584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1264623"/>
        <c:crosses val="autoZero"/>
        <c:auto val="1"/>
        <c:lblAlgn val="ctr"/>
        <c:lblOffset val="100"/>
        <c:noMultiLvlLbl val="0"/>
      </c:catAx>
      <c:valAx>
        <c:axId val="23126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5845887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25400" cap="flat" cmpd="sng" algn="ctr">
            <a:noFill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95000"/>
        </a:schemeClr>
      </a:solidFill>
      <a:round/>
    </a:ln>
    <a:effectLst>
      <a:softEdge rad="0"/>
    </a:effectLst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Evolução das Vendas FARDIN 2025 x 2026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{"Base 2025"}</c:f>
              <c:strCache>
                <c:ptCount val="1"/>
                <c:pt idx="0">
                  <c:v>Base 2025</c:v>
                </c:pt>
              </c:strCache>
            </c:strRef>
          </c:tx>
          <c:marker>
            <c:spPr>
              <a:solidFill>
                <a:srgbClr val="FF0000"/>
              </a:solidFill>
              <a:ln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'Meta x Real de Vendas  Global'!$B$7:$B$18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'Evolução de Vendas Mês FARDIN'!$D$21:$D$32</c:f>
              <c:numCache>
                <c:formatCode>#,##0.00</c:formatCode>
                <c:ptCount val="12"/>
                <c:pt idx="0">
                  <c:v>398197.21</c:v>
                </c:pt>
                <c:pt idx="1">
                  <c:v>312248.89</c:v>
                </c:pt>
                <c:pt idx="2">
                  <c:v>532104.43000000005</c:v>
                </c:pt>
                <c:pt idx="3">
                  <c:v>414130.56</c:v>
                </c:pt>
                <c:pt idx="4">
                  <c:v>542304.22</c:v>
                </c:pt>
                <c:pt idx="5">
                  <c:v>540921.54</c:v>
                </c:pt>
                <c:pt idx="6">
                  <c:v>725817.27</c:v>
                </c:pt>
                <c:pt idx="7">
                  <c:v>645154.36</c:v>
                </c:pt>
                <c:pt idx="8">
                  <c:v>785445.66</c:v>
                </c:pt>
                <c:pt idx="9">
                  <c:v>785549.95</c:v>
                </c:pt>
                <c:pt idx="10">
                  <c:v>548892.29</c:v>
                </c:pt>
                <c:pt idx="11">
                  <c:v>498132.02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48-4008-8581-3C6188CCB419}"/>
            </c:ext>
          </c:extLst>
        </c:ser>
        <c:ser>
          <c:idx val="1"/>
          <c:order val="1"/>
          <c:tx>
            <c:strRef>
              <c:f>{"Real 2026"}</c:f>
              <c:strCache>
                <c:ptCount val="1"/>
                <c:pt idx="0">
                  <c:v>Real 2026</c:v>
                </c:pt>
              </c:strCache>
            </c:strRef>
          </c:tx>
          <c:marker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'Meta x Real de Vendas  Global'!$B$7:$B$18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'Evolução de Vendas Mês FARDIN'!$E$21:$E$32</c:f>
              <c:numCache>
                <c:formatCode>#,##0.00</c:formatCode>
                <c:ptCount val="12"/>
                <c:pt idx="0">
                  <c:v>399844.11</c:v>
                </c:pt>
                <c:pt idx="1">
                  <c:v>401528.5</c:v>
                </c:pt>
                <c:pt idx="2">
                  <c:v>662845.27</c:v>
                </c:pt>
                <c:pt idx="3">
                  <c:v>591216.71</c:v>
                </c:pt>
                <c:pt idx="4">
                  <c:v>395074.44</c:v>
                </c:pt>
                <c:pt idx="5">
                  <c:v>803807.58000000007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48-4008-8581-3C6188CCB419}"/>
            </c:ext>
          </c:extLst>
        </c:ser>
        <c:ser>
          <c:idx val="2"/>
          <c:order val="2"/>
          <c:tx>
            <c:strRef>
              <c:f>'Evolução de Vendas Mês FARDIN'!$F$20</c:f>
              <c:strCache>
                <c:ptCount val="1"/>
                <c:pt idx="0">
                  <c:v>Evolução</c:v>
                </c:pt>
              </c:strCache>
            </c:strRef>
          </c:tx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'Meta x Real de Vendas  Global'!$B$7:$B$18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'Evolução de Vendas Mês FARDIN'!$F$21:$F$32</c:f>
              <c:numCache>
                <c:formatCode>#,##0.00</c:formatCode>
                <c:ptCount val="12"/>
                <c:pt idx="0">
                  <c:v>1646.8999999999651</c:v>
                </c:pt>
                <c:pt idx="1">
                  <c:v>89279.609999999986</c:v>
                </c:pt>
                <c:pt idx="2">
                  <c:v>130740.83999999997</c:v>
                </c:pt>
                <c:pt idx="3">
                  <c:v>177086.14999999997</c:v>
                </c:pt>
                <c:pt idx="4">
                  <c:v>-147229.77999999997</c:v>
                </c:pt>
                <c:pt idx="5">
                  <c:v>262886.04000000004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48-4008-8581-3C6188CCB4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9275760"/>
        <c:axId val="1359285552"/>
      </c:lineChart>
      <c:catAx>
        <c:axId val="135927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9285552"/>
        <c:crosses val="autoZero"/>
        <c:auto val="1"/>
        <c:lblAlgn val="ctr"/>
        <c:lblOffset val="100"/>
        <c:noMultiLvlLbl val="1"/>
      </c:catAx>
      <c:valAx>
        <c:axId val="1359285552"/>
        <c:scaling>
          <c:orientation val="minMax"/>
        </c:scaling>
        <c:delete val="1"/>
        <c:axPos val="l"/>
        <c:numFmt formatCode="#,##0.00" sourceLinked="1"/>
        <c:majorTickMark val="out"/>
        <c:minorTickMark val="none"/>
        <c:tickLblPos val="nextTo"/>
        <c:crossAx val="135927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242837131697333"/>
          <c:y val="0.8751745052138753"/>
          <c:w val="0.45571399203514862"/>
          <c:h val="9.7798467759097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Meta X Real de Vendas Fardin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Resultado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'Meta x Real de Vendas  Global'!$B$28:$B$39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'Meta x Real de Vendas  FARDIN'!$M$29:$M$40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1-4F6C-AA79-D5F42549405A}"/>
            </c:ext>
          </c:extLst>
        </c:ser>
        <c:ser>
          <c:idx val="2"/>
          <c:order val="2"/>
          <c:tx>
            <c:v>Resultado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'Meta x Real de Vendas  Global'!$B$28:$B$39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'Meta x Real de Vendas  FARDIN'!$N$29:$N$40</c:f>
              <c:numCache>
                <c:formatCode>_("R$"* #,##0.00_);_("R$"* \(#,##0.00\);_("R$"* "-"??_);_(@_)</c:formatCode>
                <c:ptCount val="12"/>
                <c:pt idx="0">
                  <c:v>399844.11</c:v>
                </c:pt>
                <c:pt idx="1">
                  <c:v>401528.5</c:v>
                </c:pt>
                <c:pt idx="2">
                  <c:v>666621.31000000006</c:v>
                </c:pt>
                <c:pt idx="3">
                  <c:v>591216.71</c:v>
                </c:pt>
                <c:pt idx="4">
                  <c:v>395074.44</c:v>
                </c:pt>
                <c:pt idx="5">
                  <c:v>803807.58000000007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D1-4F6C-AA79-D5F4254940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3973376"/>
        <c:axId val="1573971936"/>
      </c:barChart>
      <c:lineChart>
        <c:grouping val="standard"/>
        <c:varyColors val="0"/>
        <c:ser>
          <c:idx val="0"/>
          <c:order val="0"/>
          <c:tx>
            <c:v>Meta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'Meta x Real de Vendas  Global'!$B$28:$B$39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'Meta x Real de Vendas  FARDIN'!$L$29:$L$40</c:f>
              <c:numCache>
                <c:formatCode>_("R$"* #,##0.00_);_("R$"* \(#,##0.00\);_("R$"* "-"??_);_(@_)</c:formatCode>
                <c:ptCount val="12"/>
                <c:pt idx="0">
                  <c:v>550000</c:v>
                </c:pt>
                <c:pt idx="1">
                  <c:v>600000</c:v>
                </c:pt>
                <c:pt idx="2">
                  <c:v>685000</c:v>
                </c:pt>
                <c:pt idx="3">
                  <c:v>650000</c:v>
                </c:pt>
                <c:pt idx="4">
                  <c:v>800000</c:v>
                </c:pt>
                <c:pt idx="5">
                  <c:v>815000</c:v>
                </c:pt>
                <c:pt idx="6">
                  <c:v>900000</c:v>
                </c:pt>
                <c:pt idx="7">
                  <c:v>830000</c:v>
                </c:pt>
                <c:pt idx="8">
                  <c:v>910000</c:v>
                </c:pt>
                <c:pt idx="9">
                  <c:v>825000</c:v>
                </c:pt>
                <c:pt idx="10">
                  <c:v>600000</c:v>
                </c:pt>
                <c:pt idx="11">
                  <c:v>535000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D1-4F6C-AA79-D5F4254940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3973376"/>
        <c:axId val="1573971936"/>
      </c:lineChart>
      <c:catAx>
        <c:axId val="15739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3971936"/>
        <c:crosses val="autoZero"/>
        <c:auto val="1"/>
        <c:lblAlgn val="ctr"/>
        <c:lblOffset val="100"/>
        <c:noMultiLvlLbl val="0"/>
      </c:catAx>
      <c:valAx>
        <c:axId val="157397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397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500" b="1">
                <a:solidFill>
                  <a:sysClr val="windowText" lastClr="000000"/>
                </a:solidFill>
              </a:rPr>
              <a:t>Evolução das Vendas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Base 2024</c:v>
          </c:tx>
          <c:marker>
            <c:spPr>
              <a:solidFill>
                <a:srgbClr val="FF0000"/>
              </a:solidFill>
              <a:ln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'Meta x Real de Vendas  Global'!$B$7:$B$18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'Evolução de Vendas Mês GLOBAL'!$D$22:$D$33</c:f>
              <c:numCache>
                <c:formatCode>#,##0.00</c:formatCode>
                <c:ptCount val="12"/>
                <c:pt idx="0">
                  <c:v>1120797.95</c:v>
                </c:pt>
                <c:pt idx="1">
                  <c:v>1402392.43</c:v>
                </c:pt>
                <c:pt idx="2">
                  <c:v>1565806.94</c:v>
                </c:pt>
                <c:pt idx="3">
                  <c:v>1485920.63</c:v>
                </c:pt>
                <c:pt idx="4">
                  <c:v>1946328.99</c:v>
                </c:pt>
                <c:pt idx="5">
                  <c:v>1589981.45</c:v>
                </c:pt>
                <c:pt idx="6">
                  <c:v>2106751.12</c:v>
                </c:pt>
                <c:pt idx="7">
                  <c:v>1874283.47</c:v>
                </c:pt>
                <c:pt idx="8">
                  <c:v>1834870.12</c:v>
                </c:pt>
                <c:pt idx="9">
                  <c:v>1807004.02</c:v>
                </c:pt>
                <c:pt idx="10">
                  <c:v>1761119.86</c:v>
                </c:pt>
                <c:pt idx="11">
                  <c:v>1460752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B-46CC-81AB-9BBDD472AE5D}"/>
            </c:ext>
          </c:extLst>
        </c:ser>
        <c:ser>
          <c:idx val="1"/>
          <c:order val="1"/>
          <c:tx>
            <c:v>Real 2025</c:v>
          </c:tx>
          <c:marker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'Meta x Real de Vendas  Global'!$B$7:$B$18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'Evolução de Vendas Mês GLOBAL'!$E$22:$E$33</c:f>
              <c:numCache>
                <c:formatCode>#,##0.00</c:formatCode>
                <c:ptCount val="12"/>
                <c:pt idx="0">
                  <c:v>1152212</c:v>
                </c:pt>
                <c:pt idx="1">
                  <c:v>1234828.5899999999</c:v>
                </c:pt>
                <c:pt idx="2">
                  <c:v>1766523.8900000001</c:v>
                </c:pt>
                <c:pt idx="3">
                  <c:v>1870979.58</c:v>
                </c:pt>
                <c:pt idx="4">
                  <c:v>1650851.7899999998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7B-46CC-81AB-9BBDD472AE5D}"/>
            </c:ext>
          </c:extLst>
        </c:ser>
        <c:ser>
          <c:idx val="2"/>
          <c:order val="2"/>
          <c:tx>
            <c:strRef>
              <c:f>'Evolução de Vendas Mês GLOBAL'!$F$21</c:f>
              <c:strCache>
                <c:ptCount val="1"/>
                <c:pt idx="0">
                  <c:v>Evolução</c:v>
                </c:pt>
              </c:strCache>
            </c:strRef>
          </c:tx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'Meta x Real de Vendas  Global'!$B$7:$B$18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'Evolução de Vendas Mês GLOBAL'!$F$22:$F$33</c:f>
              <c:numCache>
                <c:formatCode>#,##0.00</c:formatCode>
                <c:ptCount val="12"/>
                <c:pt idx="0">
                  <c:v>31414.050000000047</c:v>
                </c:pt>
                <c:pt idx="1">
                  <c:v>-167563.84000000008</c:v>
                </c:pt>
                <c:pt idx="2">
                  <c:v>200716.95000000019</c:v>
                </c:pt>
                <c:pt idx="3">
                  <c:v>385058.95000000019</c:v>
                </c:pt>
                <c:pt idx="4">
                  <c:v>-295477.20000000019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7B-46CC-81AB-9BBDD472AE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9275760"/>
        <c:axId val="1359285552"/>
      </c:lineChart>
      <c:catAx>
        <c:axId val="135927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9285552"/>
        <c:crosses val="autoZero"/>
        <c:auto val="1"/>
        <c:lblAlgn val="ctr"/>
        <c:lblOffset val="100"/>
        <c:noMultiLvlLbl val="1"/>
      </c:catAx>
      <c:valAx>
        <c:axId val="1359285552"/>
        <c:scaling>
          <c:orientation val="minMax"/>
        </c:scaling>
        <c:delete val="1"/>
        <c:axPos val="l"/>
        <c:numFmt formatCode="#,##0.00" sourceLinked="1"/>
        <c:majorTickMark val="out"/>
        <c:minorTickMark val="none"/>
        <c:tickLblPos val="nextTo"/>
        <c:crossAx val="135927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242837131697333"/>
          <c:y val="0.8751745052138753"/>
          <c:w val="0.45571399203514862"/>
          <c:h val="9.7798467759097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Meta X Real de Vendas Geral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#REF!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B5-4DD5-A980-1BD0C5762278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B5-4DD5-A980-1BD0C5762278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020-4C0F-9527-FC8AED3484C9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C7E-4B28-9D12-0361E5BF4BAE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C7E-4B28-9D12-0361E5BF4BAE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C7E-4B28-9D12-0361E5BF4B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'Meta x Real de Vendas  Global'!$B$7:$B$18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'Meta x Real de Vendas  Global'!$D$7:$D$18</c:f>
              <c:numCache>
                <c:formatCode>_("R$"* #,##0.00_);_("R$"* \(#,##0.00\);_("R$"* "-"??_);_(@_)</c:formatCode>
                <c:ptCount val="12"/>
                <c:pt idx="0">
                  <c:v>1152212</c:v>
                </c:pt>
                <c:pt idx="1">
                  <c:v>1234828.5899999999</c:v>
                </c:pt>
                <c:pt idx="2">
                  <c:v>1766523.8900000001</c:v>
                </c:pt>
                <c:pt idx="3">
                  <c:v>1870979.58</c:v>
                </c:pt>
                <c:pt idx="4">
                  <c:v>1650851.7899999998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B5-4DD5-A980-1BD0C5762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axId val="1640422639"/>
        <c:axId val="1640423471"/>
      </c:barChart>
      <c:lineChart>
        <c:grouping val="standard"/>
        <c:varyColors val="0"/>
        <c:ser>
          <c:idx val="1"/>
          <c:order val="1"/>
          <c:tx>
            <c:strRef>
              <c:f>'Meta x Real de Vendas  Global'!$C$5</c:f>
              <c:strCache>
                <c:ptCount val="1"/>
                <c:pt idx="0">
                  <c:v>Meta 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1"/>
              <c:pt idx="0">
                <c:v>44927</c:v>
              </c:pt>
              <c:pt idx="1">
                <c:v>44928</c:v>
              </c:pt>
              <c:pt idx="2">
                <c:v>44929</c:v>
              </c:pt>
              <c:pt idx="3">
                <c:v>44930</c:v>
              </c:pt>
              <c:pt idx="4">
                <c:v>44931</c:v>
              </c:pt>
              <c:pt idx="5">
                <c:v>44932</c:v>
              </c:pt>
              <c:pt idx="6">
                <c:v>44933</c:v>
              </c:pt>
              <c:pt idx="7">
                <c:v>44934</c:v>
              </c:pt>
              <c:pt idx="8">
                <c:v>44935</c:v>
              </c:pt>
              <c:pt idx="9">
                <c:v>44936</c:v>
              </c:pt>
              <c:pt idx="10">
                <c:v>44937</c:v>
              </c:pt>
              <c:pt idx="11">
                <c:v>44938</c:v>
              </c:pt>
              <c:pt idx="12">
                <c:v>44939</c:v>
              </c:pt>
              <c:pt idx="13">
                <c:v>44940</c:v>
              </c:pt>
              <c:pt idx="14">
                <c:v>44941</c:v>
              </c:pt>
              <c:pt idx="15">
                <c:v>44942</c:v>
              </c:pt>
              <c:pt idx="16">
                <c:v>44943</c:v>
              </c:pt>
              <c:pt idx="17">
                <c:v>44944</c:v>
              </c:pt>
              <c:pt idx="18">
                <c:v>44945</c:v>
              </c:pt>
              <c:pt idx="19">
                <c:v>44946</c:v>
              </c:pt>
              <c:pt idx="20">
                <c:v>44947</c:v>
              </c:pt>
              <c:pt idx="21">
                <c:v>44948</c:v>
              </c:pt>
              <c:pt idx="22">
                <c:v>44949</c:v>
              </c:pt>
              <c:pt idx="23">
                <c:v>44950</c:v>
              </c:pt>
              <c:pt idx="24">
                <c:v>44951</c:v>
              </c:pt>
              <c:pt idx="25">
                <c:v>44952</c:v>
              </c:pt>
              <c:pt idx="26">
                <c:v>44953</c:v>
              </c:pt>
              <c:pt idx="27">
                <c:v>44954</c:v>
              </c:pt>
              <c:pt idx="28">
                <c:v>44955</c:v>
              </c:pt>
              <c:pt idx="29">
                <c:v>44956</c:v>
              </c:pt>
              <c:pt idx="30">
                <c:v>44957</c:v>
              </c:pt>
            </c:strLit>
          </c:cat>
          <c:val>
            <c:numRef>
              <c:f>'Meta x Real de Vendas  Global'!$C$7:$C$18</c:f>
              <c:numCache>
                <c:formatCode>_("R$"* #,##0.00_);_("R$"* \(#,##0.00\);_("R$"* "-"??_);_(@_)</c:formatCode>
                <c:ptCount val="12"/>
                <c:pt idx="0">
                  <c:v>1290486.75963</c:v>
                </c:pt>
                <c:pt idx="1">
                  <c:v>1614714.6439019998</c:v>
                </c:pt>
                <c:pt idx="2">
                  <c:v>1802870.110716</c:v>
                </c:pt>
                <c:pt idx="3">
                  <c:v>1844027.50183</c:v>
                </c:pt>
                <c:pt idx="4">
                  <c:v>2100000</c:v>
                </c:pt>
                <c:pt idx="5">
                  <c:v>2288561.2594499998</c:v>
                </c:pt>
                <c:pt idx="6">
                  <c:v>2816094.2221039999</c:v>
                </c:pt>
                <c:pt idx="7">
                  <c:v>2505354.7143489998</c:v>
                </c:pt>
                <c:pt idx="8">
                  <c:v>2452670.8894040002</c:v>
                </c:pt>
                <c:pt idx="9">
                  <c:v>2359452.8176275999</c:v>
                </c:pt>
                <c:pt idx="10">
                  <c:v>2298930.6428467999</c:v>
                </c:pt>
                <c:pt idx="11">
                  <c:v>1906836.44576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B5-4DD5-A980-1BD0C5762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422639"/>
        <c:axId val="1640423471"/>
      </c:lineChart>
      <c:catAx>
        <c:axId val="1640422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0423471"/>
        <c:crosses val="autoZero"/>
        <c:auto val="1"/>
        <c:lblAlgn val="ctr"/>
        <c:lblOffset val="100"/>
        <c:noMultiLvlLbl val="0"/>
      </c:catAx>
      <c:valAx>
        <c:axId val="1640423471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640422639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Meta X Real de Por Família</a:t>
            </a:r>
            <a:r>
              <a:rPr lang="en-US" sz="2000" b="1" baseline="0">
                <a:solidFill>
                  <a:sysClr val="windowText" lastClr="000000"/>
                </a:solidFill>
              </a:rPr>
              <a:t> Trimestre</a:t>
            </a:r>
            <a:endParaRPr 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v>Real 3º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7"/>
            </c:numLit>
          </c:val>
          <c:extLst>
            <c:ext xmlns:c16="http://schemas.microsoft.com/office/drawing/2014/chart" uri="{C3380CC4-5D6E-409C-BE32-E72D297353CC}">
              <c16:uniqueId val="{00000006-CAD8-4899-A033-CE495C0F5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0422639"/>
        <c:axId val="164042347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v>Real 2º</c:v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</c:numLit>
                </c:val>
                <c:extLst>
                  <c:ext xmlns:c16="http://schemas.microsoft.com/office/drawing/2014/chart" uri="{C3380CC4-5D6E-409C-BE32-E72D297353CC}">
                    <c16:uniqueId val="{00000009-CAD8-4899-A033-CE495C0F531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Real 1º</c:v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AD8-4899-A033-CE495C0F531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0"/>
          <c:tx>
            <c:v>Meta 3º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</c:strLit>
          </c:cat>
          <c:val>
            <c:numLit>
              <c:formatCode>General</c:formatCode>
              <c:ptCount val="7"/>
            </c:numLit>
          </c:val>
          <c:smooth val="0"/>
          <c:extLst>
            <c:ext xmlns:c16="http://schemas.microsoft.com/office/drawing/2014/chart" uri="{C3380CC4-5D6E-409C-BE32-E72D297353CC}">
              <c16:uniqueId val="{00000005-CAD8-4899-A033-CE495C0F53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0422639"/>
        <c:axId val="1640423471"/>
        <c:extLst>
          <c:ext xmlns:c15="http://schemas.microsoft.com/office/drawing/2012/chart" uri="{02D57815-91ED-43cb-92C2-25804820EDAC}">
            <c15:filteredLineSeries>
              <c15:ser>
                <c:idx val="0"/>
                <c:order val="2"/>
                <c:tx>
                  <c:v>Meta 2</c:v>
                </c:tx>
                <c:spPr>
                  <a:ln w="28575" cap="rnd">
                    <a:solidFill>
                      <a:sysClr val="windowText" lastClr="00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8-CAD8-4899-A033-CE495C0F531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Meta 1º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7"/>
                  </c:numLit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AD8-4899-A033-CE495C0F5317}"/>
                  </c:ext>
                </c:extLst>
              </c15:ser>
            </c15:filteredLineSeries>
          </c:ext>
        </c:extLst>
      </c:lineChart>
      <c:catAx>
        <c:axId val="1640422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0423471"/>
        <c:crosses val="autoZero"/>
        <c:auto val="1"/>
        <c:lblAlgn val="ctr"/>
        <c:lblOffset val="100"/>
        <c:noMultiLvlLbl val="0"/>
      </c:catAx>
      <c:valAx>
        <c:axId val="164042347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40422639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Meta X Real de Vendas Representantes</a:t>
            </a:r>
            <a:r>
              <a:rPr lang="en-US" sz="2000" b="1" baseline="0">
                <a:solidFill>
                  <a:sysClr val="windowText" lastClr="000000"/>
                </a:solidFill>
              </a:rPr>
              <a:t> </a:t>
            </a:r>
            <a:r>
              <a:rPr lang="en-US" sz="2000" b="1">
                <a:solidFill>
                  <a:sysClr val="windowText" lastClr="000000"/>
                </a:solidFill>
              </a:rPr>
              <a:t>Fardin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Real Representantes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DC7-42D0-9C28-891AF9C9A2E1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B9-4338-B584-4A8D6EF89268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7B9-4338-B584-4A8D6EF89268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223-41E3-8F8C-3D69F5FF7580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82D-4B93-BBB3-8363150B5AEC}"/>
              </c:ext>
            </c:extLst>
          </c:dPt>
          <c:dPt>
            <c:idx val="8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82D-4B93-BBB3-8363150B5AEC}"/>
              </c:ext>
            </c:extLst>
          </c:dPt>
          <c:dPt>
            <c:idx val="1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82D-4B93-BBB3-8363150B5AEC}"/>
              </c:ext>
            </c:extLst>
          </c:dPt>
          <c:dPt>
            <c:idx val="1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82D-4B93-BBB3-8363150B5A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'Meta x Real de Vendas  FARDIN'!$B$7:$B$18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'Meta x Real de Vendas  FARDIN'!$L$7:$L$18</c:f>
              <c:numCache>
                <c:formatCode>_("R$"* #,##0.00_);_("R$"* \(#,##0.00\);_("R$"* "-"??_);_(@_)</c:formatCode>
                <c:ptCount val="12"/>
                <c:pt idx="0">
                  <c:v>42200.020000000004</c:v>
                </c:pt>
                <c:pt idx="1">
                  <c:v>49153.68</c:v>
                </c:pt>
                <c:pt idx="2">
                  <c:v>196977.46999999997</c:v>
                </c:pt>
                <c:pt idx="3">
                  <c:v>141376.39000000001</c:v>
                </c:pt>
                <c:pt idx="4">
                  <c:v>61184.97</c:v>
                </c:pt>
                <c:pt idx="5">
                  <c:v>308667.79000000004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C7-42D0-9C28-891AF9C9A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axId val="1640422639"/>
        <c:axId val="1640423471"/>
      </c:barChart>
      <c:lineChart>
        <c:grouping val="standard"/>
        <c:varyColors val="0"/>
        <c:ser>
          <c:idx val="0"/>
          <c:order val="0"/>
          <c:tx>
            <c:v>Meta Representantes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'Meta x Real de Vendas  Global'!$B$7:$B$18</c:f>
              <c:strCache>
                <c:ptCount val="12"/>
                <c:pt idx="0">
                  <c:v>Janeiro</c:v>
                </c:pt>
                <c:pt idx="1">
                  <c:v>Fevereiro 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'Meta x Real de Vendas  FARDIN'!$K$7:$K$18</c:f>
              <c:numCache>
                <c:formatCode>_("R$"* #,##0.00_);_("R$"* \(#,##0.00\);_("R$"* "-"??_);_(@_)</c:formatCode>
                <c:ptCount val="12"/>
                <c:pt idx="0">
                  <c:v>75000</c:v>
                </c:pt>
                <c:pt idx="1">
                  <c:v>160000</c:v>
                </c:pt>
                <c:pt idx="2">
                  <c:v>165000</c:v>
                </c:pt>
                <c:pt idx="3">
                  <c:v>115000</c:v>
                </c:pt>
                <c:pt idx="4">
                  <c:v>165000</c:v>
                </c:pt>
                <c:pt idx="5">
                  <c:v>160000</c:v>
                </c:pt>
                <c:pt idx="6">
                  <c:v>230000</c:v>
                </c:pt>
                <c:pt idx="7">
                  <c:v>185000</c:v>
                </c:pt>
                <c:pt idx="8">
                  <c:v>200000</c:v>
                </c:pt>
                <c:pt idx="9">
                  <c:v>175000</c:v>
                </c:pt>
                <c:pt idx="10">
                  <c:v>150000</c:v>
                </c:pt>
                <c:pt idx="11">
                  <c:v>135000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C7-42D0-9C28-891AF9C9A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422639"/>
        <c:axId val="1640423471"/>
      </c:lineChart>
      <c:catAx>
        <c:axId val="1640422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0423471"/>
        <c:crosses val="autoZero"/>
        <c:auto val="1"/>
        <c:lblAlgn val="ctr"/>
        <c:lblOffset val="100"/>
        <c:noMultiLvlLbl val="0"/>
      </c:catAx>
      <c:valAx>
        <c:axId val="1640423471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640422639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700" b="1">
                <a:solidFill>
                  <a:sysClr val="windowText" lastClr="000000"/>
                </a:solidFill>
              </a:rPr>
              <a:t>Evolução do Faturamento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sq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bevel/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'Faturamento per Capita'!$L$3:$L$15</c:f>
              <c:numCache>
                <c:formatCode>#,##0.00</c:formatCode>
                <c:ptCount val="13"/>
                <c:pt idx="0">
                  <c:v>-256856.65124127158</c:v>
                </c:pt>
                <c:pt idx="1">
                  <c:v>-74151.250072148323</c:v>
                </c:pt>
                <c:pt idx="2">
                  <c:v>-94247.814784173141</c:v>
                </c:pt>
                <c:pt idx="3">
                  <c:v>69162.474165120773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7F-4535-BF78-5359C18DB9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9283920"/>
        <c:axId val="1359284464"/>
      </c:lineChart>
      <c:catAx>
        <c:axId val="135928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9284464"/>
        <c:crosses val="autoZero"/>
        <c:auto val="1"/>
        <c:lblAlgn val="ctr"/>
        <c:lblOffset val="100"/>
        <c:noMultiLvlLbl val="0"/>
      </c:catAx>
      <c:valAx>
        <c:axId val="13592844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35928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0.xml"/><Relationship Id="rId4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2</xdr:row>
      <xdr:rowOff>647700</xdr:rowOff>
    </xdr:from>
    <xdr:to>
      <xdr:col>5</xdr:col>
      <xdr:colOff>1314450</xdr:colOff>
      <xdr:row>2</xdr:row>
      <xdr:rowOff>1123950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5A110F-489C-42F3-8FAA-CF6D98E39BB5}"/>
            </a:ext>
            <a:ext uri="{147F2762-F138-4A5C-976F-8EAC2B608ADB}">
              <a16:predDERef xmlns:a16="http://schemas.microsoft.com/office/drawing/2014/main" pred="{29AA92B3-1BC4-4775-A0E3-314BB6D7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0" y="895350"/>
          <a:ext cx="1152525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85725</xdr:rowOff>
    </xdr:from>
    <xdr:to>
      <xdr:col>1</xdr:col>
      <xdr:colOff>952500</xdr:colOff>
      <xdr:row>1</xdr:row>
      <xdr:rowOff>419100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CA655112-806B-4FBF-8BAC-960972FB8EAB}"/>
            </a:ext>
            <a:ext uri="{147F2762-F138-4A5C-976F-8EAC2B608ADB}">
              <a16:predDERef xmlns:a16="http://schemas.microsoft.com/office/drawing/2014/main" pred="{29AA92B3-1BC4-4775-A0E3-314BB6D7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0500"/>
          <a:ext cx="800100" cy="333375"/>
        </a:xfrm>
        <a:prstGeom prst="rect">
          <a:avLst/>
        </a:prstGeom>
      </xdr:spPr>
    </xdr:pic>
    <xdr:clientData/>
  </xdr:twoCellAnchor>
  <xdr:twoCellAnchor>
    <xdr:from>
      <xdr:col>0</xdr:col>
      <xdr:colOff>103767</xdr:colOff>
      <xdr:row>18</xdr:row>
      <xdr:rowOff>73959</xdr:rowOff>
    </xdr:from>
    <xdr:to>
      <xdr:col>9</xdr:col>
      <xdr:colOff>0</xdr:colOff>
      <xdr:row>41</xdr:row>
      <xdr:rowOff>114412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71374C-D4E9-45D1-ACA6-96206222A66C}"/>
            </a:ext>
            <a:ext uri="{147F2762-F138-4A5C-976F-8EAC2B608ADB}">
              <a16:predDERef xmlns:a16="http://schemas.microsoft.com/office/drawing/2014/main" pred="{CA655112-806B-4FBF-8BAC-960972FB8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167217</xdr:colOff>
      <xdr:row>1</xdr:row>
      <xdr:rowOff>73025</xdr:rowOff>
    </xdr:from>
    <xdr:to>
      <xdr:col>2</xdr:col>
      <xdr:colOff>491067</xdr:colOff>
      <xdr:row>1</xdr:row>
      <xdr:rowOff>501650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ED6A6F94-7A65-41D3-893D-27E9AC8E33F6}"/>
            </a:ext>
            <a:ext uri="{147F2762-F138-4A5C-976F-8EAC2B608ADB}">
              <a16:predDERef xmlns:a16="http://schemas.microsoft.com/office/drawing/2014/main" pred="{29AA92B3-1BC4-4775-A0E3-314BB6D7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17" y="157692"/>
          <a:ext cx="1051983" cy="428625"/>
        </a:xfrm>
        <a:prstGeom prst="rect">
          <a:avLst/>
        </a:prstGeom>
      </xdr:spPr>
    </xdr:pic>
    <xdr:clientData/>
  </xdr:twoCellAnchor>
  <xdr:twoCellAnchor>
    <xdr:from>
      <xdr:col>0</xdr:col>
      <xdr:colOff>75558</xdr:colOff>
      <xdr:row>52</xdr:row>
      <xdr:rowOff>49666</xdr:rowOff>
    </xdr:from>
    <xdr:to>
      <xdr:col>9</xdr:col>
      <xdr:colOff>1200150</xdr:colOff>
      <xdr:row>73</xdr:row>
      <xdr:rowOff>209550</xdr:rowOff>
    </xdr:to>
    <xdr:graphicFrame macro="">
      <xdr:nvGraphicFramePr>
        <xdr:cNvPr id="30" name="Gráfico 28">
          <a:extLst>
            <a:ext uri="{FF2B5EF4-FFF2-40B4-BE49-F238E27FC236}">
              <a16:creationId xmlns:a16="http://schemas.microsoft.com/office/drawing/2014/main" id="{F6A7724D-C16D-BBF5-6D26-8F7BAEF6954E}"/>
            </a:ext>
            <a:ext uri="{147F2762-F138-4A5C-976F-8EAC2B608ADB}">
              <a16:predDERef xmlns:a16="http://schemas.microsoft.com/office/drawing/2014/main" pred="{ED6A6F94-7A65-41D3-893D-27E9AC8E3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62752</xdr:colOff>
      <xdr:row>25</xdr:row>
      <xdr:rowOff>53789</xdr:rowOff>
    </xdr:from>
    <xdr:to>
      <xdr:col>9</xdr:col>
      <xdr:colOff>1362634</xdr:colOff>
      <xdr:row>51</xdr:row>
      <xdr:rowOff>215153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318B35-CF0C-2A4C-F044-F72ED7615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71718</xdr:colOff>
      <xdr:row>74</xdr:row>
      <xdr:rowOff>47267</xdr:rowOff>
    </xdr:from>
    <xdr:to>
      <xdr:col>9</xdr:col>
      <xdr:colOff>1182527</xdr:colOff>
      <xdr:row>92</xdr:row>
      <xdr:rowOff>197223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C2756E9-3C87-4150-9364-E234494CD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133350</xdr:rowOff>
    </xdr:from>
    <xdr:to>
      <xdr:col>1</xdr:col>
      <xdr:colOff>942975</xdr:colOff>
      <xdr:row>1</xdr:row>
      <xdr:rowOff>485775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25B623-5A28-44BF-9A93-0C823C144B48}"/>
            </a:ext>
            <a:ext uri="{147F2762-F138-4A5C-976F-8EAC2B608ADB}">
              <a16:predDERef xmlns:a16="http://schemas.microsoft.com/office/drawing/2014/main" pred="{29AA92B3-1BC4-4775-A0E3-314BB6D7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38125"/>
          <a:ext cx="838200" cy="352425"/>
        </a:xfrm>
        <a:prstGeom prst="rect">
          <a:avLst/>
        </a:prstGeom>
      </xdr:spPr>
    </xdr:pic>
    <xdr:clientData/>
  </xdr:twoCellAnchor>
  <xdr:twoCellAnchor>
    <xdr:from>
      <xdr:col>0</xdr:col>
      <xdr:colOff>39734</xdr:colOff>
      <xdr:row>18</xdr:row>
      <xdr:rowOff>27215</xdr:rowOff>
    </xdr:from>
    <xdr:to>
      <xdr:col>9</xdr:col>
      <xdr:colOff>11159</xdr:colOff>
      <xdr:row>40</xdr:row>
      <xdr:rowOff>166280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5ED71818-CE01-42DE-9761-8D46C03AFFD1}"/>
            </a:ext>
            <a:ext uri="{147F2762-F138-4A5C-976F-8EAC2B608ADB}">
              <a16:predDERef xmlns:a16="http://schemas.microsoft.com/office/drawing/2014/main" pred="{F325B623-5A28-44BF-9A93-0C823C144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167217</xdr:colOff>
      <xdr:row>1</xdr:row>
      <xdr:rowOff>73025</xdr:rowOff>
    </xdr:from>
    <xdr:to>
      <xdr:col>1</xdr:col>
      <xdr:colOff>1226173</xdr:colOff>
      <xdr:row>1</xdr:row>
      <xdr:rowOff>501650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6A8928-8F2C-414F-8C1C-E28088D4A9C2}"/>
            </a:ext>
            <a:ext uri="{147F2762-F138-4A5C-976F-8EAC2B608ADB}">
              <a16:predDERef xmlns:a16="http://schemas.microsoft.com/office/drawing/2014/main" pred="{29AA92B3-1BC4-4775-A0E3-314BB6D7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17" y="156845"/>
          <a:ext cx="1055370" cy="428625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25</xdr:row>
      <xdr:rowOff>38100</xdr:rowOff>
    </xdr:from>
    <xdr:to>
      <xdr:col>20</xdr:col>
      <xdr:colOff>1384300</xdr:colOff>
      <xdr:row>55</xdr:row>
      <xdr:rowOff>63500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A94E97B-3DBC-40ED-AD1D-961875803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2</xdr:row>
      <xdr:rowOff>66675</xdr:rowOff>
    </xdr:from>
    <xdr:to>
      <xdr:col>3</xdr:col>
      <xdr:colOff>314325</xdr:colOff>
      <xdr:row>3</xdr:row>
      <xdr:rowOff>28575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43B47F-053F-4651-B628-38443D3E39E6}"/>
            </a:ext>
            <a:ext uri="{147F2762-F138-4A5C-976F-8EAC2B608ADB}">
              <a16:predDERef xmlns:a16="http://schemas.microsoft.com/office/drawing/2014/main" pred="{29AA92B3-1BC4-4775-A0E3-314BB6D7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325"/>
          <a:ext cx="1314450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2</xdr:row>
      <xdr:rowOff>0</xdr:rowOff>
    </xdr:from>
    <xdr:to>
      <xdr:col>3</xdr:col>
      <xdr:colOff>695325</xdr:colOff>
      <xdr:row>2</xdr:row>
      <xdr:rowOff>533400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7CF01B-67E5-49FC-A5DE-A736AE83EEE2}"/>
            </a:ext>
            <a:ext uri="{147F2762-F138-4A5C-976F-8EAC2B608ADB}">
              <a16:predDERef xmlns:a16="http://schemas.microsoft.com/office/drawing/2014/main" pred="{29AA92B3-1BC4-4775-A0E3-314BB6D7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190500"/>
          <a:ext cx="1314450" cy="533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1</xdr:row>
      <xdr:rowOff>38100</xdr:rowOff>
    </xdr:from>
    <xdr:to>
      <xdr:col>1</xdr:col>
      <xdr:colOff>1282488</xdr:colOff>
      <xdr:row>1</xdr:row>
      <xdr:rowOff>466725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B72F2D-31ED-4EBC-9720-F35CB4B7FBE9}"/>
            </a:ext>
            <a:ext uri="{147F2762-F138-4A5C-976F-8EAC2B608ADB}">
              <a16:predDERef xmlns:a16="http://schemas.microsoft.com/office/drawing/2014/main" pred="{29AA92B3-1BC4-4775-A0E3-314BB6D7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" y="142875"/>
          <a:ext cx="1023408" cy="4286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1</xdr:row>
      <xdr:rowOff>57150</xdr:rowOff>
    </xdr:from>
    <xdr:to>
      <xdr:col>7</xdr:col>
      <xdr:colOff>0</xdr:colOff>
      <xdr:row>1</xdr:row>
      <xdr:rowOff>590550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094385C-A0A8-408A-AE23-8440C187D654}"/>
            </a:ext>
            <a:ext uri="{147F2762-F138-4A5C-976F-8EAC2B608ADB}">
              <a16:predDERef xmlns:a16="http://schemas.microsoft.com/office/drawing/2014/main" pred="{29AA92B3-1BC4-4775-A0E3-314BB6D7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80975"/>
          <a:ext cx="1314450" cy="533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243391</xdr:colOff>
      <xdr:row>51</xdr:row>
      <xdr:rowOff>446</xdr:rowOff>
    </xdr:from>
    <xdr:to>
      <xdr:col>17</xdr:col>
      <xdr:colOff>281490</xdr:colOff>
      <xdr:row>65</xdr:row>
      <xdr:rowOff>134020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848A21-13F4-423F-B756-4E361EAA3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345653</xdr:colOff>
      <xdr:row>2</xdr:row>
      <xdr:rowOff>28175</xdr:rowOff>
    </xdr:from>
    <xdr:to>
      <xdr:col>17</xdr:col>
      <xdr:colOff>312053</xdr:colOff>
      <xdr:row>16</xdr:row>
      <xdr:rowOff>160412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FB41B61B-DF55-4CBF-9BE8-AF02018DECE1}"/>
            </a:ext>
            <a:ext uri="{147F2762-F138-4A5C-976F-8EAC2B608ADB}">
              <a16:predDERef xmlns:a16="http://schemas.microsoft.com/office/drawing/2014/main" pred="{FD848A21-13F4-423F-B756-4E361EAA3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301598</xdr:colOff>
      <xdr:row>18</xdr:row>
      <xdr:rowOff>97972</xdr:rowOff>
    </xdr:from>
    <xdr:to>
      <xdr:col>17</xdr:col>
      <xdr:colOff>267998</xdr:colOff>
      <xdr:row>33</xdr:row>
      <xdr:rowOff>50915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22C142-1371-402C-A6B9-A70FE7B6140F}"/>
            </a:ext>
            <a:ext uri="{147F2762-F138-4A5C-976F-8EAC2B608ADB}">
              <a16:predDERef xmlns:a16="http://schemas.microsoft.com/office/drawing/2014/main" pred="{FB41B61B-DF55-4CBF-9BE8-AF02018DE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571500</xdr:colOff>
      <xdr:row>1</xdr:row>
      <xdr:rowOff>160020</xdr:rowOff>
    </xdr:from>
    <xdr:to>
      <xdr:col>3</xdr:col>
      <xdr:colOff>409726</xdr:colOff>
      <xdr:row>1</xdr:row>
      <xdr:rowOff>588645</xdr:rowOff>
    </xdr:to>
    <xdr:pic>
      <xdr:nvPicPr>
        <xdr:cNvPr id="5" name="Imagem 1">
          <a:extLst>
            <a:ext uri="{FF2B5EF4-FFF2-40B4-BE49-F238E27FC236}">
              <a16:creationId xmlns:a16="http://schemas.microsoft.com/office/drawing/2014/main" id="{4CF20D3C-3501-4E0C-9860-9EC7ACDFA652}"/>
            </a:ext>
            <a:ext uri="{147F2762-F138-4A5C-976F-8EAC2B608ADB}">
              <a16:predDERef xmlns:a16="http://schemas.microsoft.com/office/drawing/2014/main" pred="{29AA92B3-1BC4-4775-A0E3-314BB6D7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342900"/>
          <a:ext cx="1057426" cy="428625"/>
        </a:xfrm>
        <a:prstGeom prst="rect">
          <a:avLst/>
        </a:prstGeom>
      </xdr:spPr>
    </xdr:pic>
    <xdr:clientData/>
  </xdr:twoCellAnchor>
  <xdr:twoCellAnchor>
    <xdr:from>
      <xdr:col>1</xdr:col>
      <xdr:colOff>286871</xdr:colOff>
      <xdr:row>34</xdr:row>
      <xdr:rowOff>143435</xdr:rowOff>
    </xdr:from>
    <xdr:to>
      <xdr:col>17</xdr:col>
      <xdr:colOff>253271</xdr:colOff>
      <xdr:row>49</xdr:row>
      <xdr:rowOff>96378</xdr:rowOff>
    </xdr:to>
    <xdr:graphicFrame macro="">
      <xdr:nvGraphicFramePr>
        <xdr:cNvPr id="6" name="Gráfico 3">
          <a:extLst>
            <a:ext uri="{FF2B5EF4-FFF2-40B4-BE49-F238E27FC236}">
              <a16:creationId xmlns:a16="http://schemas.microsoft.com/office/drawing/2014/main" id="{F5226C88-9C6D-474E-82C7-798EE8DECF40}"/>
            </a:ext>
            <a:ext uri="{147F2762-F138-4A5C-976F-8EAC2B608ADB}">
              <a16:predDERef xmlns:a16="http://schemas.microsoft.com/office/drawing/2014/main" pred="{4CF20D3C-3501-4E0C-9860-9EC7ACDFA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30</xdr:row>
      <xdr:rowOff>32384</xdr:rowOff>
    </xdr:from>
    <xdr:to>
      <xdr:col>9</xdr:col>
      <xdr:colOff>9525</xdr:colOff>
      <xdr:row>36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593725</xdr:colOff>
      <xdr:row>3</xdr:row>
      <xdr:rowOff>247650</xdr:rowOff>
    </xdr:from>
    <xdr:to>
      <xdr:col>3</xdr:col>
      <xdr:colOff>708025</xdr:colOff>
      <xdr:row>7</xdr:row>
      <xdr:rowOff>244476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FBEA5A3-B70E-45A2-A642-19BA5D1EF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675" y="1022350"/>
          <a:ext cx="2844800" cy="11652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rla Bruna" id="{F07691EB-DA02-4FB4-9BB1-F6EBCF54FBFF}" userId="S::comercial@docesfardin.com.br::833905e3-422d-49ce-8eee-47d8f62e167c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0" dT="2026-06-01T13:59:18.03" personId="{F07691EB-DA02-4FB4-9BB1-F6EBCF54FBFF}" id="{5F3C6CE6-33D8-4088-ADB7-73B280547E45}">
    <text>78 fardin
28 sul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B5D3E-3925-4747-BD85-5E6F3AC8EF15}">
  <sheetPr>
    <tabColor rgb="FF00B050"/>
  </sheetPr>
  <dimension ref="B1:O43"/>
  <sheetViews>
    <sheetView showGridLines="0" topLeftCell="A19" workbookViewId="0">
      <selection activeCell="H6" sqref="H6"/>
    </sheetView>
  </sheetViews>
  <sheetFormatPr defaultColWidth="9.140625" defaultRowHeight="14.45"/>
  <cols>
    <col min="1" max="2" width="1.7109375" customWidth="1"/>
    <col min="3" max="9" width="20.7109375" customWidth="1"/>
    <col min="10" max="11" width="1.7109375" customWidth="1"/>
    <col min="12" max="13" width="18.5703125" bestFit="1" customWidth="1"/>
    <col min="14" max="14" width="15" style="1" customWidth="1"/>
    <col min="15" max="15" width="17.5703125" bestFit="1" customWidth="1"/>
  </cols>
  <sheetData>
    <row r="1" spans="2:15" ht="9.75" customHeight="1"/>
    <row r="2" spans="2:15" ht="9.75" customHeight="1">
      <c r="B2" s="160"/>
      <c r="C2" s="161"/>
      <c r="D2" s="437"/>
      <c r="E2" s="437"/>
      <c r="F2" s="437"/>
      <c r="G2" s="162"/>
      <c r="H2" s="162"/>
      <c r="I2" s="162"/>
      <c r="J2" s="163"/>
    </row>
    <row r="3" spans="2:15" ht="93" customHeight="1">
      <c r="B3" s="164"/>
      <c r="C3" s="436" t="s">
        <v>0</v>
      </c>
      <c r="D3" s="436"/>
      <c r="E3" s="436"/>
      <c r="F3" s="436"/>
      <c r="G3" s="436"/>
      <c r="H3" s="436"/>
      <c r="I3" s="436"/>
      <c r="J3" s="165"/>
      <c r="L3" s="435" t="s">
        <v>1</v>
      </c>
      <c r="M3" s="435"/>
      <c r="N3" s="298"/>
    </row>
    <row r="4" spans="2:15" ht="15">
      <c r="B4" s="164"/>
      <c r="C4" s="347" t="s">
        <v>2</v>
      </c>
      <c r="D4" s="347" t="s">
        <v>3</v>
      </c>
      <c r="E4" s="347" t="s">
        <v>4</v>
      </c>
      <c r="F4" s="347" t="s">
        <v>5</v>
      </c>
      <c r="G4" s="347" t="s">
        <v>6</v>
      </c>
      <c r="H4" s="354" t="s">
        <v>7</v>
      </c>
      <c r="J4" s="165"/>
      <c r="K4" s="151"/>
      <c r="L4" s="355" t="s">
        <v>8</v>
      </c>
      <c r="M4" s="355" t="s">
        <v>9</v>
      </c>
      <c r="N4"/>
    </row>
    <row r="5" spans="2:15" ht="15">
      <c r="B5" s="164"/>
      <c r="C5" s="438" t="s">
        <v>10</v>
      </c>
      <c r="D5" s="124" t="s">
        <v>11</v>
      </c>
      <c r="E5" s="136">
        <v>0.16</v>
      </c>
      <c r="F5" s="137">
        <f>8700000*E5</f>
        <v>1392000</v>
      </c>
      <c r="G5" s="137">
        <v>608000</v>
      </c>
      <c r="H5" s="394">
        <v>1464217.88</v>
      </c>
      <c r="J5" s="165"/>
      <c r="K5" s="300"/>
      <c r="L5" s="398">
        <f>H5-F5</f>
        <v>72217.879999999888</v>
      </c>
      <c r="M5" s="356">
        <f>H5/F5</f>
        <v>1.0518806609195401</v>
      </c>
      <c r="N5"/>
    </row>
    <row r="6" spans="2:15" ht="15">
      <c r="B6" s="164"/>
      <c r="C6" s="439"/>
      <c r="D6" s="122" t="s">
        <v>12</v>
      </c>
      <c r="E6" s="132">
        <v>0.24</v>
      </c>
      <c r="F6" s="133">
        <f t="shared" ref="F6:F7" si="0">8700000*E6</f>
        <v>2088000</v>
      </c>
      <c r="G6" s="133">
        <v>912000</v>
      </c>
      <c r="H6" s="393">
        <v>1790098.73</v>
      </c>
      <c r="J6" s="165"/>
      <c r="K6" s="300"/>
      <c r="L6" s="397">
        <f>H6-F6</f>
        <v>-297901.27</v>
      </c>
      <c r="M6" s="392">
        <f>H6/F6</f>
        <v>0.85732697796934865</v>
      </c>
      <c r="N6"/>
    </row>
    <row r="7" spans="2:15" ht="15">
      <c r="B7" s="164"/>
      <c r="C7" s="439"/>
      <c r="D7" s="122" t="s">
        <v>13</v>
      </c>
      <c r="E7" s="132">
        <v>0.36</v>
      </c>
      <c r="F7" s="133">
        <f t="shared" si="0"/>
        <v>3132000</v>
      </c>
      <c r="G7" s="133">
        <v>1368000</v>
      </c>
      <c r="H7" s="395" t="s">
        <v>14</v>
      </c>
      <c r="J7" s="165"/>
      <c r="K7" s="300"/>
      <c r="L7" s="357" t="s">
        <v>14</v>
      </c>
      <c r="M7" s="357" t="s">
        <v>14</v>
      </c>
      <c r="N7"/>
    </row>
    <row r="8" spans="2:15" ht="15">
      <c r="B8" s="164"/>
      <c r="C8" s="440"/>
      <c r="D8" s="123" t="s">
        <v>15</v>
      </c>
      <c r="E8" s="134">
        <v>0.24</v>
      </c>
      <c r="F8" s="135">
        <f>8700000*E8</f>
        <v>2088000</v>
      </c>
      <c r="G8" s="135">
        <v>912000</v>
      </c>
      <c r="H8" s="396" t="s">
        <v>14</v>
      </c>
      <c r="J8" s="165"/>
      <c r="K8" s="300"/>
      <c r="L8" s="357" t="s">
        <v>14</v>
      </c>
      <c r="M8" s="357" t="s">
        <v>14</v>
      </c>
      <c r="N8"/>
    </row>
    <row r="9" spans="2:15" ht="15" hidden="1">
      <c r="B9" s="164"/>
      <c r="C9" s="438" t="s">
        <v>16</v>
      </c>
      <c r="D9" s="124" t="s">
        <v>11</v>
      </c>
      <c r="E9" s="136">
        <v>0.2</v>
      </c>
      <c r="F9" s="137">
        <f>16580000*E9</f>
        <v>3316000</v>
      </c>
      <c r="G9" s="137">
        <v>973333.33333333337</v>
      </c>
      <c r="H9" s="395">
        <v>2685570.56</v>
      </c>
      <c r="J9" s="165"/>
      <c r="K9" s="307"/>
      <c r="L9" s="358">
        <v>-630429.43999999994</v>
      </c>
      <c r="M9" s="359">
        <v>0.80989999999999995</v>
      </c>
      <c r="N9"/>
    </row>
    <row r="10" spans="2:15" ht="15" hidden="1">
      <c r="B10" s="164"/>
      <c r="C10" s="439"/>
      <c r="D10" s="122" t="s">
        <v>12</v>
      </c>
      <c r="E10" s="132">
        <v>0.25</v>
      </c>
      <c r="F10" s="137">
        <f>16580000*E10</f>
        <v>4145000</v>
      </c>
      <c r="G10" s="133">
        <v>1216666.6666666667</v>
      </c>
      <c r="H10" s="395" t="s">
        <v>14</v>
      </c>
      <c r="J10" s="165"/>
      <c r="K10" s="300"/>
      <c r="L10" s="301"/>
      <c r="M10" s="299"/>
      <c r="N10"/>
    </row>
    <row r="11" spans="2:15" ht="15" hidden="1">
      <c r="B11" s="164"/>
      <c r="C11" s="439"/>
      <c r="D11" s="122" t="s">
        <v>13</v>
      </c>
      <c r="E11" s="132">
        <v>0.28000000000000003</v>
      </c>
      <c r="F11" s="137">
        <f>16580000*E11</f>
        <v>4642400</v>
      </c>
      <c r="G11" s="133">
        <v>1362666.6666666667</v>
      </c>
      <c r="H11" s="395" t="s">
        <v>14</v>
      </c>
      <c r="J11" s="165"/>
      <c r="K11" s="303"/>
      <c r="L11" s="301"/>
      <c r="M11" s="302"/>
      <c r="N11"/>
    </row>
    <row r="12" spans="2:15" ht="15" hidden="1">
      <c r="B12" s="164"/>
      <c r="C12" s="440"/>
      <c r="D12" s="123" t="s">
        <v>15</v>
      </c>
      <c r="E12" s="134">
        <v>0.27</v>
      </c>
      <c r="F12" s="297">
        <f>16580000*E12</f>
        <v>4476600</v>
      </c>
      <c r="G12" s="135">
        <v>1314000.0000000002</v>
      </c>
      <c r="H12" s="396" t="s">
        <v>14</v>
      </c>
      <c r="J12" s="165"/>
      <c r="K12" s="300"/>
      <c r="L12" s="301"/>
      <c r="M12" s="302"/>
      <c r="N12"/>
    </row>
    <row r="13" spans="2:15" ht="9.75" customHeight="1">
      <c r="B13" s="164"/>
      <c r="J13" s="165"/>
      <c r="L13" s="304"/>
      <c r="M13" s="302"/>
      <c r="N13" s="301"/>
      <c r="O13" s="302"/>
    </row>
    <row r="14" spans="2:15" ht="20.25" customHeight="1">
      <c r="B14" s="164"/>
      <c r="C14" s="441" t="s">
        <v>17</v>
      </c>
      <c r="D14" s="442"/>
      <c r="E14" s="442"/>
      <c r="F14" s="442"/>
      <c r="G14" s="442"/>
      <c r="H14" s="443"/>
      <c r="I14" s="256"/>
      <c r="J14" s="166"/>
      <c r="O14" s="258"/>
    </row>
    <row r="15" spans="2:15" s="1" customFormat="1" ht="19.5" customHeight="1">
      <c r="B15" s="167"/>
      <c r="C15" s="157" t="s">
        <v>18</v>
      </c>
      <c r="D15" s="157" t="s">
        <v>19</v>
      </c>
      <c r="E15" s="157" t="s">
        <v>20</v>
      </c>
      <c r="F15" s="157" t="s">
        <v>21</v>
      </c>
      <c r="G15" s="157" t="s">
        <v>22</v>
      </c>
      <c r="H15" s="157" t="s">
        <v>23</v>
      </c>
      <c r="I15" s="2"/>
      <c r="J15" s="168"/>
      <c r="O15" s="320"/>
    </row>
    <row r="16" spans="2:15" s="151" customFormat="1" ht="19.5" customHeight="1">
      <c r="B16" s="169"/>
      <c r="C16" s="180">
        <v>500000</v>
      </c>
      <c r="D16" s="180">
        <v>3200000</v>
      </c>
      <c r="E16" s="180">
        <v>3500000</v>
      </c>
      <c r="F16" s="180">
        <v>1250000</v>
      </c>
      <c r="G16" s="180">
        <v>50000</v>
      </c>
      <c r="H16" s="180">
        <v>200000</v>
      </c>
      <c r="I16" s="159"/>
      <c r="J16" s="170"/>
      <c r="L16" s="434" t="s">
        <v>24</v>
      </c>
      <c r="M16" s="434"/>
      <c r="N16" s="305"/>
    </row>
    <row r="17" spans="2:14" s="151" customFormat="1" ht="19.5" customHeight="1">
      <c r="B17" s="169"/>
      <c r="C17" s="430" t="s">
        <v>10</v>
      </c>
      <c r="D17" s="158" t="s">
        <v>25</v>
      </c>
      <c r="E17" s="159" t="s">
        <v>26</v>
      </c>
      <c r="F17" s="158" t="s">
        <v>27</v>
      </c>
      <c r="G17" s="158" t="s">
        <v>28</v>
      </c>
      <c r="H17" s="226" t="s">
        <v>29</v>
      </c>
      <c r="I17" s="159"/>
      <c r="J17" s="170"/>
      <c r="L17" s="305" t="s">
        <v>30</v>
      </c>
      <c r="M17" s="305" t="s">
        <v>31</v>
      </c>
      <c r="N17" s="305"/>
    </row>
    <row r="18" spans="2:14">
      <c r="B18" s="164"/>
      <c r="C18" s="431"/>
      <c r="D18" s="428" t="s">
        <v>11</v>
      </c>
      <c r="E18" s="178" t="s">
        <v>18</v>
      </c>
      <c r="F18" s="152">
        <v>0.16</v>
      </c>
      <c r="G18" s="232">
        <f>C16*F18</f>
        <v>80000</v>
      </c>
      <c r="H18" s="227">
        <f>SUM('Histórico de Fatu. FARDIN P.F.'!E12:G12)</f>
        <v>51406.66</v>
      </c>
      <c r="I18" s="257"/>
      <c r="J18" s="171"/>
      <c r="L18" s="306">
        <f>H18-G18</f>
        <v>-28593.339999999997</v>
      </c>
      <c r="M18" s="307">
        <f>IF(G18="","",H18/G18)-100%</f>
        <v>-0.35741674999999995</v>
      </c>
      <c r="N18" s="301"/>
    </row>
    <row r="19" spans="2:14" ht="15">
      <c r="B19" s="164"/>
      <c r="C19" s="431"/>
      <c r="D19" s="429"/>
      <c r="E19" s="176" t="s">
        <v>19</v>
      </c>
      <c r="F19" s="154">
        <v>0.16</v>
      </c>
      <c r="G19" s="233">
        <f>D16*F19</f>
        <v>512000</v>
      </c>
      <c r="H19" s="228">
        <f>SUM('Histórico de Fatu. FARDIN P.F.'!E16:G16)</f>
        <v>525420.68000000005</v>
      </c>
      <c r="I19" s="257"/>
      <c r="J19" s="171"/>
      <c r="L19" s="308">
        <f t="shared" ref="L19:L29" si="1">H19-G19</f>
        <v>13420.680000000051</v>
      </c>
      <c r="M19" s="309">
        <f t="shared" ref="M19:M29" si="2">IF(G19="","",H19/G19)-100%</f>
        <v>2.621226562500012E-2</v>
      </c>
      <c r="N19" s="301"/>
    </row>
    <row r="20" spans="2:14">
      <c r="B20" s="164"/>
      <c r="C20" s="431"/>
      <c r="D20" s="429"/>
      <c r="E20" s="176" t="s">
        <v>20</v>
      </c>
      <c r="F20" s="154">
        <v>0.16</v>
      </c>
      <c r="G20" s="233">
        <f>E16*F20</f>
        <v>560000</v>
      </c>
      <c r="H20" s="228">
        <f>SUM('Histórico de Fatu. FARDIN P.F.'!E20:G20)</f>
        <v>517349.55999999994</v>
      </c>
      <c r="I20" s="257"/>
      <c r="J20" s="171"/>
      <c r="L20" s="306">
        <f t="shared" si="1"/>
        <v>-42650.440000000061</v>
      </c>
      <c r="M20" s="307">
        <f t="shared" si="2"/>
        <v>-7.6161500000000104E-2</v>
      </c>
      <c r="N20" s="301"/>
    </row>
    <row r="21" spans="2:14">
      <c r="B21" s="164"/>
      <c r="C21" s="431"/>
      <c r="D21" s="429"/>
      <c r="E21" s="176" t="s">
        <v>21</v>
      </c>
      <c r="F21" s="154">
        <v>0.16</v>
      </c>
      <c r="G21" s="233">
        <f>F16*F21</f>
        <v>200000</v>
      </c>
      <c r="H21" s="228">
        <f>SUM('Histórico de Fatu. FARDIN P.F.'!E24:G24)</f>
        <v>268468.36</v>
      </c>
      <c r="I21" s="257"/>
      <c r="J21" s="171"/>
      <c r="L21" s="308">
        <f t="shared" si="1"/>
        <v>68468.359999999986</v>
      </c>
      <c r="M21" s="309">
        <f>IF(G21="","",H21/G21)-100%</f>
        <v>0.34234180000000003</v>
      </c>
      <c r="N21" s="301"/>
    </row>
    <row r="22" spans="2:14">
      <c r="B22" s="164"/>
      <c r="C22" s="431"/>
      <c r="D22" s="429"/>
      <c r="E22" s="176" t="s">
        <v>22</v>
      </c>
      <c r="F22" s="154">
        <v>0.16</v>
      </c>
      <c r="G22" s="233">
        <f>G16*F22</f>
        <v>8000</v>
      </c>
      <c r="H22" s="228">
        <f>SUM('Histórico de Fatu. FARDIN P.F.'!E32:G32)</f>
        <v>23062.84</v>
      </c>
      <c r="I22" s="257"/>
      <c r="J22" s="171"/>
      <c r="L22" s="308">
        <f t="shared" si="1"/>
        <v>15062.84</v>
      </c>
      <c r="M22" s="309">
        <f t="shared" si="2"/>
        <v>1.8828550000000002</v>
      </c>
      <c r="N22" s="301"/>
    </row>
    <row r="23" spans="2:14">
      <c r="B23" s="164"/>
      <c r="C23" s="431"/>
      <c r="D23" s="429"/>
      <c r="E23" s="177" t="s">
        <v>23</v>
      </c>
      <c r="F23" s="156">
        <v>0.16</v>
      </c>
      <c r="G23" s="234">
        <f>H16*F23</f>
        <v>32000</v>
      </c>
      <c r="H23" s="229">
        <f>SUM('Histórico de Fatu. FARDIN P.F.'!E28:G28)</f>
        <v>66735.69</v>
      </c>
      <c r="I23" s="257"/>
      <c r="J23" s="171"/>
      <c r="L23" s="308">
        <f t="shared" si="1"/>
        <v>34735.69</v>
      </c>
      <c r="M23" s="309">
        <f t="shared" si="2"/>
        <v>1.0854903125000002</v>
      </c>
      <c r="N23" s="301"/>
    </row>
    <row r="24" spans="2:14" ht="15">
      <c r="B24" s="164"/>
      <c r="C24" s="431"/>
      <c r="D24" s="428" t="s">
        <v>12</v>
      </c>
      <c r="E24" s="178" t="s">
        <v>18</v>
      </c>
      <c r="F24" s="152">
        <v>0.24</v>
      </c>
      <c r="G24" s="232">
        <f>C16*F24</f>
        <v>120000</v>
      </c>
      <c r="H24" s="227">
        <f>SUM('Histórico de Fatu. FARDIN P.F.'!H12:J12)</f>
        <v>71526.459999999992</v>
      </c>
      <c r="I24" s="257"/>
      <c r="J24" s="171"/>
      <c r="L24" s="306">
        <f>H24-G24</f>
        <v>-48473.540000000008</v>
      </c>
      <c r="M24" s="307">
        <f t="shared" si="2"/>
        <v>-0.40394616666666672</v>
      </c>
    </row>
    <row r="25" spans="2:14" ht="15">
      <c r="B25" s="164"/>
      <c r="C25" s="431"/>
      <c r="D25" s="429"/>
      <c r="E25" s="176" t="s">
        <v>19</v>
      </c>
      <c r="F25" s="154">
        <v>0.24</v>
      </c>
      <c r="G25" s="233">
        <f>D16*F25</f>
        <v>768000</v>
      </c>
      <c r="H25" s="228">
        <f>SUM('Histórico de Fatu. FARDIN P.F.'!H16:J16)</f>
        <v>700390.97</v>
      </c>
      <c r="I25" s="257"/>
      <c r="J25" s="171"/>
      <c r="L25" s="306">
        <f>H25-G25</f>
        <v>-67609.030000000028</v>
      </c>
      <c r="M25" s="307">
        <f t="shared" si="2"/>
        <v>-8.8032591145833394E-2</v>
      </c>
    </row>
    <row r="26" spans="2:14" ht="15">
      <c r="B26" s="164"/>
      <c r="C26" s="431"/>
      <c r="D26" s="429"/>
      <c r="E26" s="176" t="s">
        <v>20</v>
      </c>
      <c r="F26" s="154">
        <v>0.24</v>
      </c>
      <c r="G26" s="233">
        <f>E16*F26</f>
        <v>840000</v>
      </c>
      <c r="H26" s="228">
        <f>SUM('Histórico de Fatu. FARDIN P.F.'!H20:J20)</f>
        <v>561006.92999999993</v>
      </c>
      <c r="I26" s="257"/>
      <c r="J26" s="171"/>
      <c r="L26" s="306">
        <f>H26-G26</f>
        <v>-278993.07000000007</v>
      </c>
      <c r="M26" s="307">
        <f t="shared" si="2"/>
        <v>-0.33213460714285725</v>
      </c>
    </row>
    <row r="27" spans="2:14" ht="15">
      <c r="B27" s="164"/>
      <c r="C27" s="431"/>
      <c r="D27" s="429"/>
      <c r="E27" s="176" t="s">
        <v>21</v>
      </c>
      <c r="F27" s="154">
        <v>0.24</v>
      </c>
      <c r="G27" s="233">
        <f>F16*F27</f>
        <v>300000</v>
      </c>
      <c r="H27" s="228">
        <f>SUM('Histórico de Fatu. FARDIN P.F.'!H24:J24)</f>
        <v>347381.25</v>
      </c>
      <c r="I27" s="257"/>
      <c r="J27" s="171"/>
      <c r="L27" s="308">
        <f>H27-G27</f>
        <v>47381.25</v>
      </c>
      <c r="M27" s="309">
        <f t="shared" si="2"/>
        <v>0.15793750000000006</v>
      </c>
    </row>
    <row r="28" spans="2:14" ht="15">
      <c r="B28" s="164"/>
      <c r="C28" s="431"/>
      <c r="D28" s="429"/>
      <c r="E28" s="176" t="s">
        <v>22</v>
      </c>
      <c r="F28" s="154">
        <v>0.24</v>
      </c>
      <c r="G28" s="233">
        <f>G16*F28</f>
        <v>12000</v>
      </c>
      <c r="H28" s="228">
        <f>SUM('Histórico de Fatu. FARDIN P.F.'!H32:J32)</f>
        <v>16464.57</v>
      </c>
      <c r="I28" s="257"/>
      <c r="J28" s="171"/>
      <c r="L28" s="308">
        <f>H28-G28</f>
        <v>4464.57</v>
      </c>
      <c r="M28" s="309">
        <f t="shared" si="2"/>
        <v>0.37204750000000009</v>
      </c>
    </row>
    <row r="29" spans="2:14" ht="15">
      <c r="B29" s="164"/>
      <c r="C29" s="431"/>
      <c r="D29" s="429"/>
      <c r="E29" s="177" t="s">
        <v>23</v>
      </c>
      <c r="F29" s="156">
        <v>0.24</v>
      </c>
      <c r="G29" s="234">
        <f>H16*F29</f>
        <v>48000</v>
      </c>
      <c r="H29" s="229">
        <f>SUM('Histórico de Fatu. FARDIN P.F.'!H28:J28)</f>
        <v>77859.47</v>
      </c>
      <c r="I29" s="257"/>
      <c r="J29" s="171"/>
      <c r="L29" s="308">
        <f>H29-G29</f>
        <v>29859.47</v>
      </c>
      <c r="M29" s="309">
        <f t="shared" si="2"/>
        <v>0.62207229166666678</v>
      </c>
    </row>
    <row r="30" spans="2:14">
      <c r="B30" s="164"/>
      <c r="C30" s="431"/>
      <c r="D30" s="428" t="s">
        <v>13</v>
      </c>
      <c r="E30" s="178" t="s">
        <v>18</v>
      </c>
      <c r="F30" s="152">
        <v>0.36</v>
      </c>
      <c r="G30" s="232">
        <f>C16*F30</f>
        <v>180000</v>
      </c>
      <c r="H30" s="227">
        <v>0</v>
      </c>
      <c r="I30" s="257"/>
      <c r="J30" s="171"/>
    </row>
    <row r="31" spans="2:14">
      <c r="B31" s="164"/>
      <c r="C31" s="431"/>
      <c r="D31" s="429"/>
      <c r="E31" s="176" t="s">
        <v>19</v>
      </c>
      <c r="F31" s="154">
        <v>0.36</v>
      </c>
      <c r="G31" s="233">
        <f>D16*F31</f>
        <v>1152000</v>
      </c>
      <c r="H31" s="228">
        <v>0</v>
      </c>
      <c r="I31" s="257"/>
      <c r="J31" s="171"/>
    </row>
    <row r="32" spans="2:14">
      <c r="B32" s="164"/>
      <c r="C32" s="431"/>
      <c r="D32" s="429"/>
      <c r="E32" s="176" t="s">
        <v>20</v>
      </c>
      <c r="F32" s="154">
        <v>0.36</v>
      </c>
      <c r="G32" s="233">
        <f>E16*F32</f>
        <v>1260000</v>
      </c>
      <c r="H32" s="228">
        <v>0</v>
      </c>
      <c r="I32" s="257"/>
      <c r="J32" s="171"/>
    </row>
    <row r="33" spans="2:10">
      <c r="B33" s="164"/>
      <c r="C33" s="431"/>
      <c r="D33" s="429"/>
      <c r="E33" s="176" t="s">
        <v>21</v>
      </c>
      <c r="F33" s="154">
        <v>0.36</v>
      </c>
      <c r="G33" s="233">
        <f>F16*F33</f>
        <v>450000</v>
      </c>
      <c r="H33" s="228">
        <v>0</v>
      </c>
      <c r="I33" s="257"/>
      <c r="J33" s="171"/>
    </row>
    <row r="34" spans="2:10">
      <c r="B34" s="164"/>
      <c r="C34" s="431"/>
      <c r="D34" s="429"/>
      <c r="E34" s="176" t="s">
        <v>22</v>
      </c>
      <c r="F34" s="154">
        <v>0.36</v>
      </c>
      <c r="G34" s="233">
        <f>G16*F34</f>
        <v>18000</v>
      </c>
      <c r="H34" s="228">
        <v>0</v>
      </c>
      <c r="I34" s="257"/>
      <c r="J34" s="171"/>
    </row>
    <row r="35" spans="2:10">
      <c r="B35" s="164"/>
      <c r="C35" s="431"/>
      <c r="D35" s="433"/>
      <c r="E35" s="179" t="s">
        <v>23</v>
      </c>
      <c r="F35" s="155">
        <v>0.36</v>
      </c>
      <c r="G35" s="235">
        <f>H16*F35</f>
        <v>72000</v>
      </c>
      <c r="H35" s="230">
        <v>0</v>
      </c>
      <c r="I35" s="257"/>
      <c r="J35" s="171"/>
    </row>
    <row r="36" spans="2:10">
      <c r="B36" s="164"/>
      <c r="C36" s="430"/>
      <c r="D36" s="429" t="s">
        <v>15</v>
      </c>
      <c r="E36" s="175" t="s">
        <v>18</v>
      </c>
      <c r="F36" s="153">
        <v>0.24</v>
      </c>
      <c r="G36" s="236">
        <f>C16*F36</f>
        <v>120000</v>
      </c>
      <c r="H36" s="231">
        <v>0</v>
      </c>
      <c r="I36" s="257"/>
      <c r="J36" s="171"/>
    </row>
    <row r="37" spans="2:10">
      <c r="B37" s="164"/>
      <c r="C37" s="430"/>
      <c r="D37" s="429"/>
      <c r="E37" s="176" t="s">
        <v>19</v>
      </c>
      <c r="F37" s="154">
        <v>0.24</v>
      </c>
      <c r="G37" s="233">
        <f>D16*F37</f>
        <v>768000</v>
      </c>
      <c r="H37" s="228">
        <v>0</v>
      </c>
      <c r="I37" s="257"/>
      <c r="J37" s="171"/>
    </row>
    <row r="38" spans="2:10">
      <c r="B38" s="164"/>
      <c r="C38" s="430"/>
      <c r="D38" s="429"/>
      <c r="E38" s="176" t="s">
        <v>20</v>
      </c>
      <c r="F38" s="154">
        <v>0.24</v>
      </c>
      <c r="G38" s="233">
        <f>E16*F38</f>
        <v>840000</v>
      </c>
      <c r="H38" s="228">
        <v>0</v>
      </c>
      <c r="I38" s="257"/>
      <c r="J38" s="171"/>
    </row>
    <row r="39" spans="2:10">
      <c r="B39" s="164"/>
      <c r="C39" s="430"/>
      <c r="D39" s="429"/>
      <c r="E39" s="176" t="s">
        <v>21</v>
      </c>
      <c r="F39" s="154">
        <v>0.24</v>
      </c>
      <c r="G39" s="233">
        <f>F16*F39</f>
        <v>300000</v>
      </c>
      <c r="H39" s="228">
        <v>0</v>
      </c>
      <c r="I39" s="257"/>
      <c r="J39" s="171"/>
    </row>
    <row r="40" spans="2:10">
      <c r="B40" s="164"/>
      <c r="C40" s="430"/>
      <c r="D40" s="429"/>
      <c r="E40" s="176" t="s">
        <v>22</v>
      </c>
      <c r="F40" s="154">
        <v>0.24</v>
      </c>
      <c r="G40" s="233">
        <f>G16*F40</f>
        <v>12000</v>
      </c>
      <c r="H40" s="228">
        <v>0</v>
      </c>
      <c r="I40" s="257"/>
      <c r="J40" s="171"/>
    </row>
    <row r="41" spans="2:10">
      <c r="B41" s="164"/>
      <c r="C41" s="432"/>
      <c r="D41" s="433"/>
      <c r="E41" s="179" t="s">
        <v>23</v>
      </c>
      <c r="F41" s="155">
        <v>0.24</v>
      </c>
      <c r="G41" s="235">
        <f>H16*F41</f>
        <v>48000</v>
      </c>
      <c r="H41" s="230">
        <v>0</v>
      </c>
      <c r="I41" s="257"/>
      <c r="J41" s="171"/>
    </row>
    <row r="42" spans="2:10" ht="9.75" customHeight="1">
      <c r="B42" s="172"/>
      <c r="C42" s="173"/>
      <c r="D42" s="173"/>
      <c r="E42" s="173"/>
      <c r="F42" s="173"/>
      <c r="G42" s="173"/>
      <c r="H42" s="173"/>
      <c r="I42" s="173"/>
      <c r="J42" s="174"/>
    </row>
    <row r="43" spans="2:10" ht="9.75" customHeight="1"/>
  </sheetData>
  <mergeCells count="12">
    <mergeCell ref="L16:M16"/>
    <mergeCell ref="L3:M3"/>
    <mergeCell ref="C3:I3"/>
    <mergeCell ref="D2:F2"/>
    <mergeCell ref="C5:C8"/>
    <mergeCell ref="C9:C12"/>
    <mergeCell ref="C14:H14"/>
    <mergeCell ref="D18:D23"/>
    <mergeCell ref="D24:D29"/>
    <mergeCell ref="C17:C41"/>
    <mergeCell ref="D30:D35"/>
    <mergeCell ref="D36:D4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35"/>
  <sheetViews>
    <sheetView showGridLines="0" zoomScale="85" zoomScaleNormal="85" workbookViewId="0">
      <selection activeCell="A10" sqref="A10"/>
    </sheetView>
  </sheetViews>
  <sheetFormatPr defaultColWidth="17.5703125" defaultRowHeight="14.45"/>
  <cols>
    <col min="1" max="1" width="1.5703125" style="1" customWidth="1"/>
    <col min="2" max="2" width="16.5703125" style="1" bestFit="1" customWidth="1"/>
    <col min="3" max="9" width="15.5703125" style="1" customWidth="1"/>
    <col min="10" max="10" width="1.5703125" style="1" customWidth="1"/>
    <col min="11" max="12" width="18.7109375" style="210" customWidth="1"/>
    <col min="13" max="13" width="1.5703125" style="210" customWidth="1"/>
    <col min="14" max="14" width="17.5703125" style="210"/>
    <col min="15" max="16384" width="17.5703125" style="1"/>
  </cols>
  <sheetData>
    <row r="1" spans="2:14" ht="8.25" customHeight="1"/>
    <row r="2" spans="2:14" ht="45" customHeight="1">
      <c r="B2" s="447" t="s">
        <v>32</v>
      </c>
      <c r="C2" s="448"/>
      <c r="D2" s="448"/>
      <c r="E2" s="448"/>
      <c r="F2" s="448"/>
      <c r="G2" s="448"/>
      <c r="H2" s="448"/>
      <c r="I2" s="449"/>
    </row>
    <row r="3" spans="2:14" s="2" customFormat="1" ht="29.1" customHeight="1">
      <c r="B3" s="450" t="s">
        <v>33</v>
      </c>
      <c r="C3" s="451"/>
      <c r="D3" s="452" t="s">
        <v>34</v>
      </c>
      <c r="E3" s="453"/>
      <c r="F3" s="453"/>
      <c r="G3" s="453"/>
      <c r="H3" s="453"/>
      <c r="I3" s="454"/>
      <c r="K3" s="210"/>
      <c r="L3" s="210"/>
      <c r="M3" s="211"/>
      <c r="N3" s="211"/>
    </row>
    <row r="4" spans="2:14" s="2" customFormat="1" ht="27" customHeight="1">
      <c r="B4" s="455" t="s">
        <v>35</v>
      </c>
      <c r="C4" s="457" t="s">
        <v>36</v>
      </c>
      <c r="D4" s="459" t="s">
        <v>35</v>
      </c>
      <c r="E4" s="461" t="s">
        <v>36</v>
      </c>
      <c r="F4" s="461" t="s">
        <v>37</v>
      </c>
      <c r="G4" s="444" t="s">
        <v>38</v>
      </c>
      <c r="H4" s="445"/>
      <c r="I4" s="446"/>
      <c r="K4" s="210"/>
      <c r="L4" s="210"/>
      <c r="M4" s="211"/>
      <c r="N4" s="211"/>
    </row>
    <row r="5" spans="2:14" s="2" customFormat="1" ht="27" customHeight="1">
      <c r="B5" s="456"/>
      <c r="C5" s="458"/>
      <c r="D5" s="460"/>
      <c r="E5" s="462"/>
      <c r="F5" s="462"/>
      <c r="G5" s="36" t="s">
        <v>39</v>
      </c>
      <c r="H5" s="36" t="s">
        <v>40</v>
      </c>
      <c r="I5" s="247" t="s">
        <v>41</v>
      </c>
      <c r="K5" s="298" t="s">
        <v>42</v>
      </c>
      <c r="L5" s="298" t="s">
        <v>43</v>
      </c>
      <c r="M5" s="211"/>
      <c r="N5" s="211"/>
    </row>
    <row r="6" spans="2:14" ht="23.1" customHeight="1">
      <c r="B6" s="248">
        <v>45658</v>
      </c>
      <c r="C6" s="4">
        <v>1120797.95</v>
      </c>
      <c r="D6" s="57">
        <v>46023</v>
      </c>
      <c r="E6" s="4">
        <f>IF('Meta x Real de Vendas  Global'!D7=0,"",'Meta x Real de Vendas  Global'!D7)</f>
        <v>1152212</v>
      </c>
      <c r="F6" s="4">
        <f t="shared" ref="F6:F17" si="0">IF(E6="","",(E6-C6))</f>
        <v>31414.050000000047</v>
      </c>
      <c r="G6" s="4">
        <f>IF(F6="","",F6)</f>
        <v>31414.050000000047</v>
      </c>
      <c r="H6" s="4">
        <f>IF(F6="","",AVERAGE(F6))</f>
        <v>31414.050000000047</v>
      </c>
      <c r="I6" s="249">
        <f>IF(H6="","",(H6*12))</f>
        <v>376968.60000000056</v>
      </c>
      <c r="K6" s="324">
        <f>E6/C6-100%</f>
        <v>2.8028290023192959E-2</v>
      </c>
      <c r="L6" s="324">
        <f>AVERAGE(K6:K17)</f>
        <v>2.8811459867306578E-2</v>
      </c>
    </row>
    <row r="7" spans="2:14" ht="23.1" customHeight="1">
      <c r="B7" s="250">
        <v>45690</v>
      </c>
      <c r="C7" s="5">
        <v>1402392.43</v>
      </c>
      <c r="D7" s="3">
        <v>46055</v>
      </c>
      <c r="E7" s="4">
        <f>IF('Meta x Real de Vendas  Global'!D8=0,"",'Meta x Real de Vendas  Global'!D8)</f>
        <v>1234828.5899999999</v>
      </c>
      <c r="F7" s="5">
        <f t="shared" si="0"/>
        <v>-167563.84000000008</v>
      </c>
      <c r="G7" s="5">
        <f>IF(F7="","",F7+G6)</f>
        <v>-136149.79000000004</v>
      </c>
      <c r="H7" s="5">
        <f>IF(F7="","",AVERAGE(F6:F7))</f>
        <v>-68074.895000000019</v>
      </c>
      <c r="I7" s="251">
        <f>IF(H7="","",(H7*12))</f>
        <v>-816898.74000000022</v>
      </c>
      <c r="K7" s="325">
        <f t="shared" ref="K7:K8" si="1">E7/C7-100%</f>
        <v>-0.11948427302905518</v>
      </c>
      <c r="L7" s="321"/>
    </row>
    <row r="8" spans="2:14" ht="23.1" customHeight="1">
      <c r="B8" s="250">
        <v>45721</v>
      </c>
      <c r="C8" s="5">
        <v>1565806.94</v>
      </c>
      <c r="D8" s="3">
        <v>46086</v>
      </c>
      <c r="E8" s="4">
        <f>IF('Meta x Real de Vendas  Global'!D9=0,"",'Meta x Real de Vendas  Global'!D9)</f>
        <v>1766523.8900000001</v>
      </c>
      <c r="F8" s="5">
        <f t="shared" si="0"/>
        <v>200716.95000000019</v>
      </c>
      <c r="G8" s="5">
        <f t="shared" ref="G8:G16" si="2">IF(F8="","",F8+G7)</f>
        <v>64567.160000000149</v>
      </c>
      <c r="H8" s="5">
        <f>IF(F8="","",AVERAGE(F6:F8))</f>
        <v>21522.386666666716</v>
      </c>
      <c r="I8" s="251">
        <f>IF(H8="","",(H8*12))</f>
        <v>258268.6400000006</v>
      </c>
      <c r="K8" s="324">
        <f t="shared" si="1"/>
        <v>0.12818754654389264</v>
      </c>
      <c r="L8" s="322"/>
    </row>
    <row r="9" spans="2:14" ht="23.1" customHeight="1">
      <c r="B9" s="250">
        <v>45752</v>
      </c>
      <c r="C9" s="5">
        <v>1485920.63</v>
      </c>
      <c r="D9" s="3">
        <v>46117</v>
      </c>
      <c r="E9" s="4">
        <v>1870979.58</v>
      </c>
      <c r="F9" s="5">
        <f t="shared" si="0"/>
        <v>385058.95000000019</v>
      </c>
      <c r="G9" s="5">
        <f t="shared" si="2"/>
        <v>449626.11000000034</v>
      </c>
      <c r="H9" s="5">
        <f>IF(F9="","",AVERAGE(F6:F9))</f>
        <v>112406.52750000008</v>
      </c>
      <c r="I9" s="251">
        <f>IF(H9="","",(H9*12))</f>
        <v>1348878.330000001</v>
      </c>
      <c r="K9" s="324">
        <f>E9/C9-100%</f>
        <v>0.25913830269655813</v>
      </c>
    </row>
    <row r="10" spans="2:14" ht="23.1" customHeight="1">
      <c r="B10" s="250">
        <v>45783</v>
      </c>
      <c r="C10" s="5">
        <v>1946328.99</v>
      </c>
      <c r="D10" s="3">
        <v>46148</v>
      </c>
      <c r="E10" s="4">
        <f>IF('Meta x Real de Vendas  Global'!D11=0,"",'Meta x Real de Vendas  Global'!D11)</f>
        <v>1650851.7899999998</v>
      </c>
      <c r="F10" s="46">
        <f t="shared" si="0"/>
        <v>-295477.20000000019</v>
      </c>
      <c r="G10" s="5">
        <f t="shared" si="2"/>
        <v>154148.91000000015</v>
      </c>
      <c r="H10" s="5">
        <f>IF(F10="","",AVERAGE(F6:F10))</f>
        <v>30829.782000000028</v>
      </c>
      <c r="I10" s="251">
        <f t="shared" ref="I10:I15" si="3">IF(H10="","",(H10*12))</f>
        <v>369957.38400000031</v>
      </c>
      <c r="K10" s="324">
        <f>E10/C10-100%</f>
        <v>-0.15181256689805567</v>
      </c>
    </row>
    <row r="11" spans="2:14" ht="23.1" customHeight="1">
      <c r="B11" s="250">
        <v>45814</v>
      </c>
      <c r="C11" s="5">
        <v>1589981.45</v>
      </c>
      <c r="D11" s="3">
        <v>46179</v>
      </c>
      <c r="E11" s="4" t="str">
        <f>IF('Meta x Real de Vendas  Global'!D12=0,"",'Meta x Real de Vendas  Global'!D12)</f>
        <v/>
      </c>
      <c r="F11" s="46" t="str">
        <f t="shared" si="0"/>
        <v/>
      </c>
      <c r="G11" s="5" t="str">
        <f t="shared" si="2"/>
        <v/>
      </c>
      <c r="H11" s="5" t="str">
        <f>IF(F11="","",AVERAGE(F6:F11))</f>
        <v/>
      </c>
      <c r="I11" s="251" t="str">
        <f t="shared" si="3"/>
        <v/>
      </c>
      <c r="K11" s="323"/>
    </row>
    <row r="12" spans="2:14" ht="23.1" customHeight="1">
      <c r="B12" s="250">
        <v>45845</v>
      </c>
      <c r="C12" s="5">
        <v>2106751.12</v>
      </c>
      <c r="D12" s="3">
        <v>46210</v>
      </c>
      <c r="E12" s="4" t="str">
        <f>IF('Meta x Real de Vendas  Global'!D13=0,"",'Meta x Real de Vendas  Global'!D13)</f>
        <v/>
      </c>
      <c r="F12" s="46" t="str">
        <f t="shared" si="0"/>
        <v/>
      </c>
      <c r="G12" s="5" t="str">
        <f t="shared" si="2"/>
        <v/>
      </c>
      <c r="H12" s="5" t="str">
        <f>IF(F12="","",AVERAGE(F6:F12))</f>
        <v/>
      </c>
      <c r="I12" s="251" t="str">
        <f t="shared" si="3"/>
        <v/>
      </c>
      <c r="K12" s="323"/>
    </row>
    <row r="13" spans="2:14" ht="23.1" customHeight="1">
      <c r="B13" s="250">
        <v>45876</v>
      </c>
      <c r="C13" s="5">
        <v>1874283.47</v>
      </c>
      <c r="D13" s="3">
        <v>46241</v>
      </c>
      <c r="E13" s="4" t="str">
        <f>IF('Meta x Real de Vendas  Global'!D14=0,"",'Meta x Real de Vendas  Global'!D14)</f>
        <v/>
      </c>
      <c r="F13" s="46" t="str">
        <f t="shared" si="0"/>
        <v/>
      </c>
      <c r="G13" s="5" t="str">
        <f t="shared" si="2"/>
        <v/>
      </c>
      <c r="H13" s="5" t="str">
        <f>IF(F13="","",AVERAGE(F6:F13))</f>
        <v/>
      </c>
      <c r="I13" s="251" t="str">
        <f>IF(H13="","",(H13*12))</f>
        <v/>
      </c>
      <c r="K13" s="323"/>
    </row>
    <row r="14" spans="2:14" ht="23.1" customHeight="1">
      <c r="B14" s="250">
        <v>45907</v>
      </c>
      <c r="C14" s="5">
        <v>1834870.12</v>
      </c>
      <c r="D14" s="3">
        <v>46272</v>
      </c>
      <c r="E14" s="4" t="str">
        <f>IF('Meta x Real de Vendas  Global'!D15=0,"",'Meta x Real de Vendas  Global'!D15)</f>
        <v/>
      </c>
      <c r="F14" s="46" t="str">
        <f t="shared" si="0"/>
        <v/>
      </c>
      <c r="G14" s="5" t="str">
        <f t="shared" si="2"/>
        <v/>
      </c>
      <c r="H14" s="5" t="str">
        <f>IF(F14="","",AVERAGE(F6:F14))</f>
        <v/>
      </c>
      <c r="I14" s="251" t="str">
        <f t="shared" si="3"/>
        <v/>
      </c>
      <c r="K14" s="323"/>
    </row>
    <row r="15" spans="2:14" ht="23.1" customHeight="1">
      <c r="B15" s="250">
        <v>45938</v>
      </c>
      <c r="C15" s="5">
        <v>1807004.02</v>
      </c>
      <c r="D15" s="3">
        <v>46303</v>
      </c>
      <c r="E15" s="4" t="str">
        <f>IF('Meta x Real de Vendas  Global'!D16=0,"",'Meta x Real de Vendas  Global'!D16)</f>
        <v/>
      </c>
      <c r="F15" s="46" t="str">
        <f t="shared" si="0"/>
        <v/>
      </c>
      <c r="G15" s="5" t="str">
        <f>IF(F15="","",F15+G14)</f>
        <v/>
      </c>
      <c r="H15" s="5" t="str">
        <f>IF(F15="","",AVERAGE(F6:F15))</f>
        <v/>
      </c>
      <c r="I15" s="251" t="str">
        <f t="shared" si="3"/>
        <v/>
      </c>
      <c r="K15" s="323"/>
    </row>
    <row r="16" spans="2:14" ht="23.1" customHeight="1">
      <c r="B16" s="250">
        <v>45969</v>
      </c>
      <c r="C16" s="5">
        <v>1761119.86</v>
      </c>
      <c r="D16" s="3">
        <v>46334</v>
      </c>
      <c r="E16" s="4" t="str">
        <f>IF('Meta x Real de Vendas  Global'!D17=0,"",'Meta x Real de Vendas  Global'!D17)</f>
        <v/>
      </c>
      <c r="F16" s="46" t="str">
        <f t="shared" si="0"/>
        <v/>
      </c>
      <c r="G16" s="5" t="str">
        <f t="shared" si="2"/>
        <v/>
      </c>
      <c r="H16" s="5" t="str">
        <f>IF(F16="","",AVERAGE(F6:F16))</f>
        <v/>
      </c>
      <c r="I16" s="251" t="str">
        <f>IF(H16="","",(H16*12))</f>
        <v/>
      </c>
      <c r="K16" s="323"/>
    </row>
    <row r="17" spans="2:11" ht="23.1" customHeight="1">
      <c r="B17" s="310">
        <v>46009</v>
      </c>
      <c r="C17" s="311">
        <v>1460752</v>
      </c>
      <c r="D17" s="312">
        <v>46374</v>
      </c>
      <c r="E17" s="313"/>
      <c r="F17" s="314" t="str">
        <f t="shared" si="0"/>
        <v/>
      </c>
      <c r="G17" s="311" t="str">
        <f>IF(F17="","",F17+G16)</f>
        <v/>
      </c>
      <c r="H17" s="311" t="str">
        <f>IF(F17="","",AVERAGE(F6:F17))</f>
        <v/>
      </c>
      <c r="I17" s="315" t="str">
        <f>IF(H17="","",(H17*12))</f>
        <v/>
      </c>
      <c r="K17" s="323"/>
    </row>
    <row r="18" spans="2:11" ht="23.1" customHeight="1">
      <c r="B18" s="316" t="s">
        <v>44</v>
      </c>
      <c r="C18" s="317">
        <v>600161</v>
      </c>
      <c r="D18" s="318" t="s">
        <v>45</v>
      </c>
      <c r="E18" s="317"/>
      <c r="F18" s="317"/>
      <c r="G18" s="317"/>
      <c r="H18" s="317"/>
      <c r="I18" s="319"/>
    </row>
    <row r="19" spans="2:11" ht="8.25" customHeight="1">
      <c r="C19" s="53"/>
    </row>
    <row r="20" spans="2:11">
      <c r="C20" s="53">
        <f>SUM(C6:C17)</f>
        <v>19956008.979999997</v>
      </c>
      <c r="E20" s="53">
        <f>SUM(E6:E17)</f>
        <v>7675395.8500000006</v>
      </c>
      <c r="F20" s="53">
        <f>E20/C20</f>
        <v>0.38461577451144252</v>
      </c>
      <c r="G20" s="54"/>
    </row>
    <row r="21" spans="2:11">
      <c r="D21" s="210" t="s">
        <v>46</v>
      </c>
      <c r="E21" s="210" t="s">
        <v>47</v>
      </c>
      <c r="F21" s="210" t="s">
        <v>48</v>
      </c>
    </row>
    <row r="22" spans="2:11">
      <c r="D22" s="212">
        <f t="shared" ref="D22:D33" si="4">IF(C6="","",C6)</f>
        <v>1120797.95</v>
      </c>
      <c r="E22" s="212">
        <f t="shared" ref="E22:E33" si="5">IF(E6="","",E6)</f>
        <v>1152212</v>
      </c>
      <c r="F22" s="212">
        <f>IF(E22="","",(E22-D22))</f>
        <v>31414.050000000047</v>
      </c>
    </row>
    <row r="23" spans="2:11">
      <c r="D23" s="212">
        <f t="shared" si="4"/>
        <v>1402392.43</v>
      </c>
      <c r="E23" s="212">
        <f t="shared" si="5"/>
        <v>1234828.5899999999</v>
      </c>
      <c r="F23" s="212">
        <f t="shared" ref="F23:F31" si="6">IF(E23="","",(E23-D23))</f>
        <v>-167563.84000000008</v>
      </c>
    </row>
    <row r="24" spans="2:11">
      <c r="D24" s="212">
        <f t="shared" si="4"/>
        <v>1565806.94</v>
      </c>
      <c r="E24" s="212">
        <f t="shared" si="5"/>
        <v>1766523.8900000001</v>
      </c>
      <c r="F24" s="212">
        <f t="shared" si="6"/>
        <v>200716.95000000019</v>
      </c>
    </row>
    <row r="25" spans="2:11">
      <c r="D25" s="212">
        <f t="shared" si="4"/>
        <v>1485920.63</v>
      </c>
      <c r="E25" s="212">
        <f t="shared" si="5"/>
        <v>1870979.58</v>
      </c>
      <c r="F25" s="212">
        <f t="shared" si="6"/>
        <v>385058.95000000019</v>
      </c>
    </row>
    <row r="26" spans="2:11">
      <c r="D26" s="212">
        <f t="shared" si="4"/>
        <v>1946328.99</v>
      </c>
      <c r="E26" s="212">
        <f t="shared" si="5"/>
        <v>1650851.7899999998</v>
      </c>
      <c r="F26" s="212">
        <f t="shared" si="6"/>
        <v>-295477.20000000019</v>
      </c>
    </row>
    <row r="27" spans="2:11">
      <c r="D27" s="212">
        <f t="shared" si="4"/>
        <v>1589981.45</v>
      </c>
      <c r="E27" s="212" t="str">
        <f t="shared" si="5"/>
        <v/>
      </c>
      <c r="F27" s="212" t="str">
        <f t="shared" si="6"/>
        <v/>
      </c>
    </row>
    <row r="28" spans="2:11">
      <c r="D28" s="212">
        <f t="shared" si="4"/>
        <v>2106751.12</v>
      </c>
      <c r="E28" s="212" t="str">
        <f t="shared" si="5"/>
        <v/>
      </c>
      <c r="F28" s="212" t="str">
        <f t="shared" si="6"/>
        <v/>
      </c>
    </row>
    <row r="29" spans="2:11">
      <c r="D29" s="212">
        <f t="shared" si="4"/>
        <v>1874283.47</v>
      </c>
      <c r="E29" s="212" t="str">
        <f t="shared" si="5"/>
        <v/>
      </c>
      <c r="F29" s="212" t="str">
        <f t="shared" si="6"/>
        <v/>
      </c>
    </row>
    <row r="30" spans="2:11">
      <c r="D30" s="212">
        <f t="shared" si="4"/>
        <v>1834870.12</v>
      </c>
      <c r="E30" s="212" t="str">
        <f t="shared" si="5"/>
        <v/>
      </c>
      <c r="F30" s="212" t="str">
        <f t="shared" si="6"/>
        <v/>
      </c>
    </row>
    <row r="31" spans="2:11">
      <c r="D31" s="212">
        <f t="shared" si="4"/>
        <v>1807004.02</v>
      </c>
      <c r="E31" s="212" t="str">
        <f t="shared" si="5"/>
        <v/>
      </c>
      <c r="F31" s="212" t="str">
        <f t="shared" si="6"/>
        <v/>
      </c>
    </row>
    <row r="32" spans="2:11">
      <c r="D32" s="212">
        <f t="shared" si="4"/>
        <v>1761119.86</v>
      </c>
      <c r="E32" s="212" t="str">
        <f t="shared" si="5"/>
        <v/>
      </c>
      <c r="F32" s="212" t="str">
        <f>IF(E32="","",(E32-D32))</f>
        <v/>
      </c>
    </row>
    <row r="33" spans="4:6">
      <c r="D33" s="212">
        <f t="shared" si="4"/>
        <v>1460752</v>
      </c>
      <c r="E33" s="212" t="str">
        <f t="shared" si="5"/>
        <v/>
      </c>
      <c r="F33" s="212" t="str">
        <f>IF(E33="","",(E33-D33))</f>
        <v/>
      </c>
    </row>
    <row r="35" spans="4:6" ht="9" customHeight="1"/>
  </sheetData>
  <mergeCells count="9">
    <mergeCell ref="G4:I4"/>
    <mergeCell ref="B2:I2"/>
    <mergeCell ref="B3:C3"/>
    <mergeCell ref="D3:I3"/>
    <mergeCell ref="B4:B5"/>
    <mergeCell ref="C4:C5"/>
    <mergeCell ref="D4:D5"/>
    <mergeCell ref="E4:E5"/>
    <mergeCell ref="F4:F5"/>
  </mergeCells>
  <printOptions horizontalCentered="1"/>
  <pageMargins left="0.19685039370078741" right="0.19685039370078741" top="0.19685039370078741" bottom="0.19685039370078741" header="0" footer="0"/>
  <pageSetup paperSize="9" scale="8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4710-3E34-4568-8C2A-123B443CE5B8}">
  <sheetPr>
    <pageSetUpPr fitToPage="1"/>
  </sheetPr>
  <dimension ref="B1:N45"/>
  <sheetViews>
    <sheetView showGridLines="0" zoomScale="70" zoomScaleNormal="70" workbookViewId="0">
      <pane ySplit="5" topLeftCell="A6" activePane="bottomLeft" state="frozen"/>
      <selection pane="bottomLeft" activeCell="F13" sqref="F13"/>
      <selection activeCell="M23" sqref="M23"/>
    </sheetView>
  </sheetViews>
  <sheetFormatPr defaultColWidth="13.85546875" defaultRowHeight="18.95" customHeight="1"/>
  <cols>
    <col min="1" max="1" width="1.140625" style="6" customWidth="1"/>
    <col min="2" max="2" width="10.7109375" style="6" customWidth="1"/>
    <col min="3" max="10" width="20.7109375" style="6" customWidth="1"/>
    <col min="11" max="11" width="15" style="6" bestFit="1" customWidth="1"/>
    <col min="12" max="12" width="18" style="6" customWidth="1"/>
    <col min="13" max="16384" width="13.85546875" style="6"/>
  </cols>
  <sheetData>
    <row r="1" spans="2:14" ht="6.95" customHeight="1"/>
    <row r="2" spans="2:14" s="1" customFormat="1" ht="45" customHeight="1">
      <c r="B2" s="472" t="s">
        <v>49</v>
      </c>
      <c r="C2" s="473"/>
      <c r="D2" s="473"/>
      <c r="E2" s="473"/>
      <c r="F2" s="473"/>
      <c r="G2" s="473"/>
      <c r="H2" s="473"/>
      <c r="I2" s="473"/>
      <c r="J2" s="474"/>
      <c r="L2" s="33"/>
      <c r="N2" s="33"/>
    </row>
    <row r="3" spans="2:14" ht="19.899999999999999" customHeight="1">
      <c r="B3" s="465">
        <v>2026</v>
      </c>
      <c r="C3" s="466"/>
      <c r="D3" s="466"/>
      <c r="E3" s="466"/>
      <c r="F3" s="466"/>
      <c r="G3" s="466"/>
      <c r="H3" s="466"/>
      <c r="I3" s="62" t="s">
        <v>50</v>
      </c>
      <c r="J3" s="59">
        <f>J4*1.1</f>
        <v>28600000.000000004</v>
      </c>
      <c r="K3" s="61"/>
    </row>
    <row r="4" spans="2:14" ht="19.899999999999999" customHeight="1">
      <c r="B4" s="467"/>
      <c r="C4" s="468"/>
      <c r="D4" s="468"/>
      <c r="E4" s="468"/>
      <c r="F4" s="468"/>
      <c r="G4" s="468"/>
      <c r="H4" s="468"/>
      <c r="I4" s="52" t="s">
        <v>51</v>
      </c>
      <c r="J4" s="51">
        <v>26000000</v>
      </c>
      <c r="K4" s="61"/>
    </row>
    <row r="5" spans="2:14" ht="30" customHeight="1">
      <c r="B5" s="488" t="s">
        <v>52</v>
      </c>
      <c r="C5" s="486" t="s">
        <v>53</v>
      </c>
      <c r="D5" s="490" t="s">
        <v>54</v>
      </c>
      <c r="E5" s="492" t="s">
        <v>55</v>
      </c>
      <c r="F5" s="493"/>
      <c r="G5" s="493"/>
      <c r="H5" s="469" t="s">
        <v>56</v>
      </c>
      <c r="I5" s="484" t="s">
        <v>57</v>
      </c>
      <c r="J5" s="482" t="s">
        <v>58</v>
      </c>
    </row>
    <row r="6" spans="2:14" ht="30" customHeight="1">
      <c r="B6" s="489"/>
      <c r="C6" s="487"/>
      <c r="D6" s="491"/>
      <c r="E6" s="60" t="s">
        <v>10</v>
      </c>
      <c r="F6" s="60" t="s">
        <v>59</v>
      </c>
      <c r="G6" s="60" t="s">
        <v>60</v>
      </c>
      <c r="H6" s="469"/>
      <c r="I6" s="485"/>
      <c r="J6" s="483"/>
    </row>
    <row r="7" spans="2:14" ht="22.5" customHeight="1">
      <c r="B7" s="246" t="s">
        <v>61</v>
      </c>
      <c r="C7" s="214">
        <v>1290486.75963</v>
      </c>
      <c r="D7" s="214">
        <f>SUM(E7:G7)</f>
        <v>1152212</v>
      </c>
      <c r="E7" s="214">
        <f>SUM('Meta x Real de Vendas  FARDIN'!R7)</f>
        <v>399844.11</v>
      </c>
      <c r="F7" s="214">
        <v>678591.7</v>
      </c>
      <c r="G7" s="214">
        <v>73776.19</v>
      </c>
      <c r="H7" s="263">
        <f t="shared" ref="H7:H18" si="0">IF(D7=0,"",D7/C7)</f>
        <v>0.89285069482646595</v>
      </c>
      <c r="I7" s="215">
        <f>D7</f>
        <v>1152212</v>
      </c>
      <c r="J7" s="216">
        <f>J4-D7</f>
        <v>24847788</v>
      </c>
      <c r="L7" s="295"/>
    </row>
    <row r="8" spans="2:14" ht="22.5" customHeight="1">
      <c r="B8" s="50" t="s">
        <v>62</v>
      </c>
      <c r="C8" s="213">
        <v>1614714.6439019998</v>
      </c>
      <c r="D8" s="214">
        <f>SUM(E8:G8)</f>
        <v>1234828.5899999999</v>
      </c>
      <c r="E8" s="214">
        <f>SUM('Meta x Real de Vendas  FARDIN'!R8)</f>
        <v>401528.5</v>
      </c>
      <c r="F8" s="213">
        <v>719928.63</v>
      </c>
      <c r="G8" s="213">
        <v>113371.46</v>
      </c>
      <c r="H8" s="263">
        <f t="shared" si="0"/>
        <v>0.76473486796156409</v>
      </c>
      <c r="I8" s="213">
        <f t="shared" ref="I8:I18" si="1">IF(D8="",I7,D8+I7)</f>
        <v>2387040.59</v>
      </c>
      <c r="J8" s="217">
        <f t="shared" ref="J8:J18" si="2">J7-D8</f>
        <v>23612959.41</v>
      </c>
      <c r="L8" s="295"/>
    </row>
    <row r="9" spans="2:14" ht="22.5" customHeight="1">
      <c r="B9" s="50" t="s">
        <v>63</v>
      </c>
      <c r="C9" s="213">
        <v>1802870.110716</v>
      </c>
      <c r="D9" s="214">
        <f t="shared" ref="D9" si="3">SUM(E9:G9)</f>
        <v>1766523.8900000001</v>
      </c>
      <c r="E9" s="213">
        <f>SUM('Meta x Real de Vendas  FARDIN'!R9)</f>
        <v>666621.31000000006</v>
      </c>
      <c r="F9" s="213">
        <v>933505.16</v>
      </c>
      <c r="G9" s="213">
        <v>166397.42000000001</v>
      </c>
      <c r="H9" s="263">
        <f t="shared" si="0"/>
        <v>0.97983980071555732</v>
      </c>
      <c r="I9" s="213">
        <f t="shared" si="1"/>
        <v>4153564.48</v>
      </c>
      <c r="J9" s="217">
        <f t="shared" si="2"/>
        <v>21846435.52</v>
      </c>
      <c r="L9" s="295"/>
    </row>
    <row r="10" spans="2:14" ht="22.5" customHeight="1">
      <c r="B10" s="50" t="s">
        <v>64</v>
      </c>
      <c r="C10" s="213">
        <v>1844027.50183</v>
      </c>
      <c r="D10" s="214">
        <f>SUM(E10:G10)</f>
        <v>1870979.58</v>
      </c>
      <c r="E10" s="213">
        <f>SUM('Meta x Real de Vendas  FARDIN'!R10)</f>
        <v>591216.71</v>
      </c>
      <c r="F10" s="213">
        <v>1184591.78</v>
      </c>
      <c r="G10" s="213">
        <v>95171.09</v>
      </c>
      <c r="H10" s="263">
        <f>IF(D10=0,"",D10/C10)</f>
        <v>1.0146158764678146</v>
      </c>
      <c r="I10" s="213">
        <f t="shared" si="1"/>
        <v>6024544.0600000005</v>
      </c>
      <c r="J10" s="217">
        <f t="shared" si="2"/>
        <v>19975455.939999998</v>
      </c>
      <c r="L10" s="295"/>
    </row>
    <row r="11" spans="2:14" ht="22.5" customHeight="1">
      <c r="B11" s="50" t="s">
        <v>65</v>
      </c>
      <c r="C11" s="213">
        <v>2100000</v>
      </c>
      <c r="D11" s="214">
        <f>SUM(E11:G11)</f>
        <v>1650851.7899999998</v>
      </c>
      <c r="E11" s="213">
        <f>SUM('Meta x Real de Vendas  FARDIN'!R11)</f>
        <v>395074.44</v>
      </c>
      <c r="F11" s="213">
        <v>1077607.6299999999</v>
      </c>
      <c r="G11" s="213">
        <v>178169.72</v>
      </c>
      <c r="H11" s="263">
        <f t="shared" si="0"/>
        <v>0.78611989999999987</v>
      </c>
      <c r="I11" s="213">
        <f t="shared" si="1"/>
        <v>7675395.8500000006</v>
      </c>
      <c r="J11" s="217">
        <f t="shared" si="2"/>
        <v>18324604.149999999</v>
      </c>
      <c r="L11" s="295"/>
      <c r="M11" s="295"/>
    </row>
    <row r="12" spans="2:14" ht="22.5" customHeight="1">
      <c r="B12" s="50" t="s">
        <v>66</v>
      </c>
      <c r="C12" s="213">
        <f>1973166.97945+165394.28+150000</f>
        <v>2288561.2594499998</v>
      </c>
      <c r="D12" s="214"/>
      <c r="E12" s="213"/>
      <c r="F12" s="213"/>
      <c r="G12" s="213"/>
      <c r="H12" s="263" t="str">
        <f t="shared" si="0"/>
        <v/>
      </c>
      <c r="I12" s="213">
        <f t="shared" si="1"/>
        <v>7675395.8500000006</v>
      </c>
      <c r="J12" s="217">
        <f t="shared" si="2"/>
        <v>18324604.149999999</v>
      </c>
      <c r="L12" s="295"/>
    </row>
    <row r="13" spans="2:14" ht="22.5" customHeight="1">
      <c r="B13" s="50" t="s">
        <v>67</v>
      </c>
      <c r="C13" s="213">
        <v>2816094.2221039999</v>
      </c>
      <c r="D13" s="214">
        <f t="shared" ref="D13:D17" si="4">SUM(E13:G13)</f>
        <v>0</v>
      </c>
      <c r="E13" s="213"/>
      <c r="F13" s="213"/>
      <c r="G13" s="213"/>
      <c r="H13" s="263" t="str">
        <f t="shared" si="0"/>
        <v/>
      </c>
      <c r="I13" s="213">
        <f t="shared" si="1"/>
        <v>7675395.8500000006</v>
      </c>
      <c r="J13" s="217">
        <f t="shared" si="2"/>
        <v>18324604.149999999</v>
      </c>
      <c r="L13" s="295"/>
    </row>
    <row r="14" spans="2:14" ht="22.5" customHeight="1">
      <c r="B14" s="50" t="s">
        <v>68</v>
      </c>
      <c r="C14" s="213">
        <v>2505354.7143489998</v>
      </c>
      <c r="D14" s="214">
        <f t="shared" si="4"/>
        <v>0</v>
      </c>
      <c r="E14" s="213"/>
      <c r="F14" s="213"/>
      <c r="G14" s="213"/>
      <c r="H14" s="263" t="str">
        <f t="shared" si="0"/>
        <v/>
      </c>
      <c r="I14" s="213">
        <f t="shared" si="1"/>
        <v>7675395.8500000006</v>
      </c>
      <c r="J14" s="217">
        <f t="shared" si="2"/>
        <v>18324604.149999999</v>
      </c>
      <c r="L14" s="295"/>
    </row>
    <row r="15" spans="2:14" ht="22.5" customHeight="1">
      <c r="B15" s="50" t="s">
        <v>69</v>
      </c>
      <c r="C15" s="213">
        <v>2452670.8894040002</v>
      </c>
      <c r="D15" s="214">
        <f t="shared" si="4"/>
        <v>0</v>
      </c>
      <c r="E15" s="213"/>
      <c r="F15" s="213"/>
      <c r="G15" s="213"/>
      <c r="H15" s="263" t="str">
        <f t="shared" si="0"/>
        <v/>
      </c>
      <c r="I15" s="213">
        <f t="shared" si="1"/>
        <v>7675395.8500000006</v>
      </c>
      <c r="J15" s="217">
        <f t="shared" si="2"/>
        <v>18324604.149999999</v>
      </c>
      <c r="L15" s="295"/>
    </row>
    <row r="16" spans="2:14" ht="22.5" customHeight="1">
      <c r="B16" s="50" t="s">
        <v>70</v>
      </c>
      <c r="C16" s="213">
        <f>2358826.9076276+625.91</f>
        <v>2359452.8176275999</v>
      </c>
      <c r="D16" s="214">
        <f t="shared" si="4"/>
        <v>0</v>
      </c>
      <c r="E16" s="213"/>
      <c r="F16" s="213"/>
      <c r="G16" s="213"/>
      <c r="H16" s="263" t="str">
        <f t="shared" si="0"/>
        <v/>
      </c>
      <c r="I16" s="213">
        <f t="shared" si="1"/>
        <v>7675395.8500000006</v>
      </c>
      <c r="J16" s="217">
        <f t="shared" si="2"/>
        <v>18324604.149999999</v>
      </c>
      <c r="L16" s="295"/>
    </row>
    <row r="17" spans="2:12" ht="22.5" customHeight="1">
      <c r="B17" s="50" t="s">
        <v>71</v>
      </c>
      <c r="C17" s="213">
        <v>2298930.6428467999</v>
      </c>
      <c r="D17" s="214">
        <f t="shared" si="4"/>
        <v>0</v>
      </c>
      <c r="E17" s="213"/>
      <c r="F17" s="213"/>
      <c r="G17" s="213"/>
      <c r="H17" s="263" t="str">
        <f t="shared" si="0"/>
        <v/>
      </c>
      <c r="I17" s="213">
        <f t="shared" si="1"/>
        <v>7675395.8500000006</v>
      </c>
      <c r="J17" s="217">
        <f t="shared" si="2"/>
        <v>18324604.149999999</v>
      </c>
      <c r="L17" s="295"/>
    </row>
    <row r="18" spans="2:12" ht="22.5" customHeight="1">
      <c r="B18" s="50" t="s">
        <v>72</v>
      </c>
      <c r="C18" s="213">
        <v>1906836.44576</v>
      </c>
      <c r="D18" s="214">
        <f>'Evolução de Vendas Mês GLOBAL'!E17</f>
        <v>0</v>
      </c>
      <c r="E18" s="213"/>
      <c r="F18" s="213"/>
      <c r="G18" s="213"/>
      <c r="H18" s="263" t="str">
        <f t="shared" si="0"/>
        <v/>
      </c>
      <c r="I18" s="213">
        <f t="shared" si="1"/>
        <v>7675395.8500000006</v>
      </c>
      <c r="J18" s="217">
        <f t="shared" si="2"/>
        <v>18324604.149999999</v>
      </c>
      <c r="L18" s="295"/>
    </row>
    <row r="19" spans="2:12" ht="22.5" customHeight="1">
      <c r="B19" s="259" t="s">
        <v>73</v>
      </c>
      <c r="C19" s="260">
        <v>720000</v>
      </c>
      <c r="D19" s="262"/>
      <c r="E19" s="260"/>
      <c r="F19" s="260"/>
      <c r="G19" s="260"/>
      <c r="H19" s="263" t="str">
        <f>IF(D19=0,"",D19/C19)</f>
        <v/>
      </c>
      <c r="I19" s="260"/>
      <c r="J19" s="261"/>
    </row>
    <row r="20" spans="2:12" ht="18.95" customHeight="1">
      <c r="B20" s="475" t="s">
        <v>54</v>
      </c>
      <c r="C20" s="477">
        <f>SUM(C7:C19)</f>
        <v>26000000.0076194</v>
      </c>
      <c r="D20" s="477">
        <f>SUM(D7:D19)</f>
        <v>7675395.8500000006</v>
      </c>
      <c r="E20" s="477">
        <f>SUM(E7:E18)</f>
        <v>2454285.0699999998</v>
      </c>
      <c r="F20" s="477">
        <f>SUM(F7:F18)</f>
        <v>4594224.9000000004</v>
      </c>
      <c r="G20" s="477">
        <f>SUM(G7:G18)</f>
        <v>626885.88</v>
      </c>
      <c r="H20" s="470">
        <f>IF(D20=0,"",D20/C20)</f>
        <v>0.29520753260579602</v>
      </c>
      <c r="I20" s="478" t="s">
        <v>74</v>
      </c>
      <c r="J20" s="480">
        <f>D20-C20</f>
        <v>-18324604.157619398</v>
      </c>
      <c r="L20" s="327"/>
    </row>
    <row r="21" spans="2:12" ht="18.95" customHeight="1">
      <c r="B21" s="476"/>
      <c r="C21" s="471"/>
      <c r="D21" s="471"/>
      <c r="E21" s="471"/>
      <c r="F21" s="471"/>
      <c r="G21" s="471"/>
      <c r="H21" s="471"/>
      <c r="I21" s="479"/>
      <c r="J21" s="481"/>
    </row>
    <row r="22" spans="2:12" ht="6.95" customHeight="1"/>
    <row r="23" spans="2:12" ht="18.95" customHeight="1">
      <c r="B23" s="463" t="s">
        <v>75</v>
      </c>
      <c r="C23" s="464"/>
      <c r="D23" s="464"/>
      <c r="E23" s="464"/>
      <c r="F23" s="464"/>
      <c r="G23" s="464"/>
      <c r="H23" s="464"/>
      <c r="I23" s="464"/>
      <c r="J23" s="49">
        <f>IF(D20="","",100%-(D20/J4))</f>
        <v>0.70479246730769229</v>
      </c>
      <c r="K23" s="55"/>
    </row>
    <row r="24" spans="2:12" ht="6.95" customHeight="1"/>
    <row r="25" spans="2:12" ht="18.95" customHeight="1">
      <c r="B25" s="463" t="s">
        <v>76</v>
      </c>
      <c r="C25" s="464"/>
      <c r="D25" s="464"/>
      <c r="E25" s="464"/>
      <c r="F25" s="464"/>
      <c r="G25" s="464"/>
      <c r="H25" s="464"/>
      <c r="I25" s="464"/>
      <c r="J25" s="49">
        <f>100%-J23</f>
        <v>0.29520753269230771</v>
      </c>
    </row>
    <row r="26" spans="2:12" ht="6.95" customHeight="1"/>
    <row r="27" spans="2:12" ht="18.95" customHeight="1">
      <c r="C27" s="6" t="s">
        <v>77</v>
      </c>
      <c r="D27" s="6" t="s">
        <v>78</v>
      </c>
      <c r="E27" s="6" t="s">
        <v>79</v>
      </c>
    </row>
    <row r="28" spans="2:12" ht="18.95" customHeight="1">
      <c r="B28" s="329" t="str">
        <f>B7</f>
        <v>Janeiro</v>
      </c>
      <c r="C28" s="327">
        <f>C7</f>
        <v>1290486.75963</v>
      </c>
      <c r="D28" s="328" t="str">
        <f>IF(D7&gt;C7,D7,"")</f>
        <v/>
      </c>
      <c r="E28" s="328">
        <f>IF(D7&lt;C7,D7,"")</f>
        <v>1152212</v>
      </c>
    </row>
    <row r="29" spans="2:12" ht="18.95" customHeight="1">
      <c r="B29" s="329" t="str">
        <f t="shared" ref="B29:C29" si="5">B8</f>
        <v xml:space="preserve">Fevereiro </v>
      </c>
      <c r="C29" s="327">
        <f t="shared" si="5"/>
        <v>1614714.6439019998</v>
      </c>
      <c r="D29" s="328" t="str">
        <f t="shared" ref="D29:D39" si="6">IF(D8&gt;C8,D8,"")</f>
        <v/>
      </c>
      <c r="E29" s="328">
        <f t="shared" ref="E29:E36" si="7">IF(D8&lt;C8,D8,"")</f>
        <v>1234828.5899999999</v>
      </c>
    </row>
    <row r="30" spans="2:12" ht="18.95" customHeight="1">
      <c r="B30" s="329" t="str">
        <f t="shared" ref="B30:C30" si="8">B9</f>
        <v>Março</v>
      </c>
      <c r="C30" s="327">
        <f t="shared" si="8"/>
        <v>1802870.110716</v>
      </c>
      <c r="D30" s="328" t="str">
        <f t="shared" si="6"/>
        <v/>
      </c>
      <c r="E30" s="328">
        <f t="shared" si="7"/>
        <v>1766523.8900000001</v>
      </c>
    </row>
    <row r="31" spans="2:12" ht="18.95" customHeight="1">
      <c r="B31" s="329" t="str">
        <f t="shared" ref="B31:C31" si="9">B10</f>
        <v>Abril</v>
      </c>
      <c r="C31" s="327">
        <f t="shared" si="9"/>
        <v>1844027.50183</v>
      </c>
      <c r="D31" s="328">
        <f t="shared" si="6"/>
        <v>1870979.58</v>
      </c>
      <c r="E31" s="328" t="str">
        <f t="shared" si="7"/>
        <v/>
      </c>
    </row>
    <row r="32" spans="2:12" ht="18.95" customHeight="1">
      <c r="B32" s="329" t="str">
        <f t="shared" ref="B32:C32" si="10">B11</f>
        <v>Maio</v>
      </c>
      <c r="C32" s="327">
        <f t="shared" si="10"/>
        <v>2100000</v>
      </c>
      <c r="D32" s="328" t="str">
        <f t="shared" si="6"/>
        <v/>
      </c>
      <c r="E32" s="328">
        <f t="shared" si="7"/>
        <v>1650851.7899999998</v>
      </c>
    </row>
    <row r="33" spans="2:11" ht="18.95" customHeight="1">
      <c r="B33" s="329" t="str">
        <f t="shared" ref="B33:C33" si="11">B12</f>
        <v>Junho</v>
      </c>
      <c r="C33" s="327">
        <f t="shared" si="11"/>
        <v>2288561.2594499998</v>
      </c>
      <c r="D33" s="328" t="str">
        <f t="shared" si="6"/>
        <v/>
      </c>
      <c r="E33" s="328">
        <f t="shared" si="7"/>
        <v>0</v>
      </c>
      <c r="K33" s="48"/>
    </row>
    <row r="34" spans="2:11" ht="18.95" customHeight="1">
      <c r="B34" s="329" t="str">
        <f t="shared" ref="B34:C34" si="12">B13</f>
        <v>Julho</v>
      </c>
      <c r="C34" s="327">
        <f t="shared" si="12"/>
        <v>2816094.2221039999</v>
      </c>
      <c r="D34" s="328" t="str">
        <f t="shared" si="6"/>
        <v/>
      </c>
      <c r="E34" s="328">
        <f t="shared" si="7"/>
        <v>0</v>
      </c>
    </row>
    <row r="35" spans="2:11" ht="18.95" customHeight="1">
      <c r="B35" s="329" t="str">
        <f t="shared" ref="B35:C35" si="13">B14</f>
        <v>Agosto</v>
      </c>
      <c r="C35" s="327">
        <f t="shared" si="13"/>
        <v>2505354.7143489998</v>
      </c>
      <c r="D35" s="328" t="str">
        <f t="shared" si="6"/>
        <v/>
      </c>
      <c r="E35" s="328">
        <f t="shared" si="7"/>
        <v>0</v>
      </c>
      <c r="K35" s="48"/>
    </row>
    <row r="36" spans="2:11" ht="18.95" customHeight="1">
      <c r="B36" s="329" t="str">
        <f t="shared" ref="B36:C36" si="14">B15</f>
        <v>Setembro</v>
      </c>
      <c r="C36" s="327">
        <f t="shared" si="14"/>
        <v>2452670.8894040002</v>
      </c>
      <c r="D36" s="328" t="str">
        <f t="shared" si="6"/>
        <v/>
      </c>
      <c r="E36" s="328">
        <f t="shared" si="7"/>
        <v>0</v>
      </c>
    </row>
    <row r="37" spans="2:11" ht="18.95" customHeight="1">
      <c r="B37" s="329" t="str">
        <f>B16</f>
        <v>Outubro</v>
      </c>
      <c r="C37" s="327">
        <f>C16</f>
        <v>2359452.8176275999</v>
      </c>
      <c r="D37" s="328" t="str">
        <f>IF(D16&gt;C16,D16,"")</f>
        <v/>
      </c>
      <c r="E37" s="328">
        <f>IF(D16&lt;C16,D16,"")</f>
        <v>0</v>
      </c>
    </row>
    <row r="38" spans="2:11" ht="18.95" customHeight="1">
      <c r="B38" s="329" t="str">
        <f t="shared" ref="B38:C39" si="15">B17</f>
        <v>Novembro</v>
      </c>
      <c r="C38" s="327">
        <f t="shared" si="15"/>
        <v>2298930.6428467999</v>
      </c>
      <c r="D38" s="328" t="str">
        <f t="shared" si="6"/>
        <v/>
      </c>
      <c r="E38" s="328">
        <f t="shared" ref="E38" si="16">IF(D17&lt;C17,D17,"")</f>
        <v>0</v>
      </c>
      <c r="K38" s="48"/>
    </row>
    <row r="39" spans="2:11" ht="17.45" customHeight="1">
      <c r="B39" s="329" t="str">
        <f t="shared" si="15"/>
        <v>Dezembro</v>
      </c>
      <c r="C39" s="327">
        <f t="shared" si="15"/>
        <v>1906836.44576</v>
      </c>
      <c r="D39" s="328" t="str">
        <f t="shared" si="6"/>
        <v/>
      </c>
      <c r="E39" s="328">
        <f t="shared" ref="E39" si="17">IF(D18&lt;C18,D18,"")</f>
        <v>0</v>
      </c>
    </row>
    <row r="40" spans="2:11" ht="24.95" customHeight="1"/>
    <row r="41" spans="2:11" ht="6.95" customHeight="1"/>
    <row r="42" spans="2:11" ht="24.95" customHeight="1"/>
    <row r="43" spans="2:11" ht="6.95" customHeight="1"/>
    <row r="44" spans="2:11" ht="24.95" customHeight="1"/>
    <row r="45" spans="2:11" ht="6.95" customHeight="1"/>
  </sheetData>
  <mergeCells count="20">
    <mergeCell ref="B2:J2"/>
    <mergeCell ref="B20:B21"/>
    <mergeCell ref="C20:C21"/>
    <mergeCell ref="D20:D21"/>
    <mergeCell ref="I20:I21"/>
    <mergeCell ref="J20:J21"/>
    <mergeCell ref="J5:J6"/>
    <mergeCell ref="I5:I6"/>
    <mergeCell ref="C5:C6"/>
    <mergeCell ref="B5:B6"/>
    <mergeCell ref="E20:E21"/>
    <mergeCell ref="D5:D6"/>
    <mergeCell ref="E5:G5"/>
    <mergeCell ref="G20:G21"/>
    <mergeCell ref="F20:F21"/>
    <mergeCell ref="B23:I23"/>
    <mergeCell ref="B3:H4"/>
    <mergeCell ref="H5:H6"/>
    <mergeCell ref="H20:H21"/>
    <mergeCell ref="B25:I25"/>
  </mergeCells>
  <conditionalFormatting sqref="D7:H19">
    <cfRule type="cellIs" dxfId="43" priority="5" operator="equal">
      <formula>0</formula>
    </cfRule>
  </conditionalFormatting>
  <conditionalFormatting sqref="H7:H21">
    <cfRule type="cellIs" dxfId="42" priority="1" operator="lessThan">
      <formula>1</formula>
    </cfRule>
  </conditionalFormatting>
  <conditionalFormatting sqref="J25">
    <cfRule type="cellIs" dxfId="41" priority="6" operator="lessThan">
      <formula>0.5</formula>
    </cfRule>
  </conditionalFormatting>
  <pageMargins left="0.25" right="0.25" top="0.75" bottom="0.75" header="0.3" footer="0.3"/>
  <pageSetup paperSize="9" scale="81" fitToHeight="0" orientation="portrait" horizontalDpi="360" verticalDpi="36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3AA8-F4E9-44F1-8777-8B61D69BB0BA}">
  <sheetPr>
    <tabColor theme="7"/>
    <pageSetUpPr fitToPage="1"/>
  </sheetPr>
  <dimension ref="B1:P34"/>
  <sheetViews>
    <sheetView showGridLines="0" zoomScale="90" zoomScaleNormal="90" workbookViewId="0">
      <selection activeCell="L13" sqref="L13"/>
    </sheetView>
  </sheetViews>
  <sheetFormatPr defaultColWidth="17.5703125" defaultRowHeight="14.45"/>
  <cols>
    <col min="1" max="1" width="1.5703125" style="1" customWidth="1"/>
    <col min="2" max="9" width="15.5703125" style="1" customWidth="1"/>
    <col min="10" max="11" width="1.5703125" style="1" customWidth="1"/>
    <col min="12" max="14" width="17.5703125" style="210" customWidth="1"/>
    <col min="15" max="15" width="1.5703125" style="210" customWidth="1"/>
    <col min="16" max="16" width="17.5703125" style="210"/>
    <col min="17" max="16384" width="17.5703125" style="1"/>
  </cols>
  <sheetData>
    <row r="1" spans="2:16" ht="8.25" customHeight="1"/>
    <row r="2" spans="2:16" ht="45" customHeight="1">
      <c r="B2" s="447" t="s">
        <v>80</v>
      </c>
      <c r="C2" s="448"/>
      <c r="D2" s="448"/>
      <c r="E2" s="448"/>
      <c r="F2" s="448"/>
      <c r="G2" s="448"/>
      <c r="H2" s="448"/>
      <c r="I2" s="449"/>
    </row>
    <row r="3" spans="2:16" s="2" customFormat="1" ht="29.1" customHeight="1">
      <c r="B3" s="450" t="s">
        <v>33</v>
      </c>
      <c r="C3" s="451"/>
      <c r="D3" s="452" t="s">
        <v>34</v>
      </c>
      <c r="E3" s="453"/>
      <c r="F3" s="453"/>
      <c r="G3" s="453"/>
      <c r="H3" s="453"/>
      <c r="I3" s="454"/>
      <c r="L3" s="210"/>
      <c r="M3" s="210"/>
      <c r="N3" s="210"/>
      <c r="O3" s="211"/>
      <c r="P3" s="211"/>
    </row>
    <row r="4" spans="2:16" s="2" customFormat="1" ht="27" customHeight="1">
      <c r="B4" s="455" t="s">
        <v>35</v>
      </c>
      <c r="C4" s="457" t="s">
        <v>36</v>
      </c>
      <c r="D4" s="459" t="s">
        <v>35</v>
      </c>
      <c r="E4" s="461" t="s">
        <v>36</v>
      </c>
      <c r="F4" s="461" t="s">
        <v>37</v>
      </c>
      <c r="G4" s="444" t="s">
        <v>38</v>
      </c>
      <c r="H4" s="445"/>
      <c r="I4" s="446"/>
      <c r="L4" s="210"/>
      <c r="M4" s="210"/>
      <c r="N4" s="210"/>
      <c r="O4" s="211"/>
      <c r="P4" s="211"/>
    </row>
    <row r="5" spans="2:16" s="2" customFormat="1" ht="27" customHeight="1">
      <c r="B5" s="456"/>
      <c r="C5" s="458"/>
      <c r="D5" s="460"/>
      <c r="E5" s="462"/>
      <c r="F5" s="462"/>
      <c r="G5" s="36" t="s">
        <v>39</v>
      </c>
      <c r="H5" s="36" t="s">
        <v>40</v>
      </c>
      <c r="I5" s="247" t="s">
        <v>41</v>
      </c>
      <c r="L5" s="298" t="s">
        <v>42</v>
      </c>
      <c r="M5" s="298" t="s">
        <v>43</v>
      </c>
      <c r="O5" s="211"/>
      <c r="P5" s="211"/>
    </row>
    <row r="6" spans="2:16" ht="23.1" customHeight="1">
      <c r="B6" s="248">
        <v>45658</v>
      </c>
      <c r="C6" s="4">
        <v>398197.21</v>
      </c>
      <c r="D6" s="57">
        <v>46023</v>
      </c>
      <c r="E6" s="4">
        <v>399844.11</v>
      </c>
      <c r="F6" s="4">
        <f>IF(E6="","",(E6-C6))</f>
        <v>1646.8999999999651</v>
      </c>
      <c r="G6" s="4">
        <f>IF(F6="","",F6)</f>
        <v>1646.8999999999651</v>
      </c>
      <c r="H6" s="4">
        <f>IF(F6="","",AVERAGE(F6))</f>
        <v>1646.8999999999651</v>
      </c>
      <c r="I6" s="249">
        <f>IF(H6="","",(H6*12))</f>
        <v>19762.799999999581</v>
      </c>
      <c r="L6" s="324">
        <f>E6/C6-100%</f>
        <v>4.1358903544299608E-3</v>
      </c>
      <c r="M6" s="324">
        <f>AVERAGE(L6:L17)</f>
        <v>0.19631374010812616</v>
      </c>
    </row>
    <row r="7" spans="2:16" ht="23.1" customHeight="1">
      <c r="B7" s="250">
        <v>45690</v>
      </c>
      <c r="C7" s="5">
        <v>312248.89</v>
      </c>
      <c r="D7" s="3">
        <v>46055</v>
      </c>
      <c r="E7" s="4">
        <v>401528.5</v>
      </c>
      <c r="F7" s="5">
        <f>IF(E7="","",(E7-C7))</f>
        <v>89279.609999999986</v>
      </c>
      <c r="G7" s="5">
        <f>IF(F7="","",F7+G6)</f>
        <v>90926.509999999951</v>
      </c>
      <c r="H7" s="5">
        <f>IF(F7="","",AVERAGE(F6:F7))</f>
        <v>45463.254999999976</v>
      </c>
      <c r="I7" s="251">
        <f>IF(H7="","",(H7*12))</f>
        <v>545559.05999999971</v>
      </c>
      <c r="L7" s="324">
        <f t="shared" ref="L7:L8" si="0">E7/C7-100%</f>
        <v>0.28592450720961726</v>
      </c>
    </row>
    <row r="8" spans="2:16" ht="23.1" customHeight="1">
      <c r="B8" s="250">
        <v>45721</v>
      </c>
      <c r="C8" s="5">
        <v>532104.43000000005</v>
      </c>
      <c r="D8" s="3">
        <v>46086</v>
      </c>
      <c r="E8" s="4">
        <v>662845.27</v>
      </c>
      <c r="F8" s="5">
        <f t="shared" ref="F8:F15" si="1">IF(E8="","",(E8-C8))</f>
        <v>130740.83999999997</v>
      </c>
      <c r="G8" s="5">
        <f t="shared" ref="G8:G17" si="2">IF(F8="","",F8+G7)</f>
        <v>221667.34999999992</v>
      </c>
      <c r="H8" s="5">
        <f>IF(F8="","",AVERAGE(F6:F8))</f>
        <v>73889.11666666664</v>
      </c>
      <c r="I8" s="251">
        <f>IF(H8="","",(H8*12))</f>
        <v>886669.39999999967</v>
      </c>
      <c r="L8" s="324">
        <f t="shared" si="0"/>
        <v>0.24570522744943113</v>
      </c>
    </row>
    <row r="9" spans="2:16" ht="23.1" customHeight="1">
      <c r="B9" s="250">
        <v>45752</v>
      </c>
      <c r="C9" s="5">
        <v>414130.56</v>
      </c>
      <c r="D9" s="3">
        <v>46117</v>
      </c>
      <c r="E9" s="4">
        <v>591216.71</v>
      </c>
      <c r="F9" s="5">
        <f>IF(E9="","",(E9-C9))</f>
        <v>177086.14999999997</v>
      </c>
      <c r="G9" s="5">
        <f t="shared" si="2"/>
        <v>398753.49999999988</v>
      </c>
      <c r="H9" s="5">
        <f>IF(F9="","",AVERAGE(F6:F9))</f>
        <v>99688.374999999971</v>
      </c>
      <c r="I9" s="251">
        <f>IF(H9="","",(H9*12))</f>
        <v>1196260.4999999995</v>
      </c>
      <c r="L9" s="324">
        <f>E9/C9-100%</f>
        <v>0.4276094717569261</v>
      </c>
    </row>
    <row r="10" spans="2:16" ht="23.1" customHeight="1">
      <c r="B10" s="250">
        <v>45783</v>
      </c>
      <c r="C10" s="5">
        <v>542304.22</v>
      </c>
      <c r="D10" s="3">
        <v>46148</v>
      </c>
      <c r="E10" s="4">
        <f>SUM('Meta x Real de Vendas  FARDIN'!R11)</f>
        <v>395074.44</v>
      </c>
      <c r="F10" s="46">
        <f>IF(E10="","",(E10-C10))</f>
        <v>-147229.77999999997</v>
      </c>
      <c r="G10" s="5">
        <f t="shared" si="2"/>
        <v>251523.71999999991</v>
      </c>
      <c r="H10" s="5">
        <f>IF(F10="","",AVERAGE(F6:F10))</f>
        <v>50304.743999999984</v>
      </c>
      <c r="I10" s="251">
        <f t="shared" ref="I10:I15" si="3">IF(H10="","",(H10*12))</f>
        <v>603656.92799999984</v>
      </c>
      <c r="L10" s="324">
        <f>E10/C10-100%</f>
        <v>-0.27148927589020044</v>
      </c>
    </row>
    <row r="11" spans="2:16" ht="23.1" customHeight="1">
      <c r="B11" s="250">
        <v>45814</v>
      </c>
      <c r="C11" s="5">
        <v>540921.54</v>
      </c>
      <c r="D11" s="3">
        <v>46179</v>
      </c>
      <c r="E11" s="4">
        <f>SUM('Meta x Real de Vendas  FARDIN'!R12)</f>
        <v>803807.58000000007</v>
      </c>
      <c r="F11" s="46">
        <f>IF(E11="","",(E11-C11))</f>
        <v>262886.04000000004</v>
      </c>
      <c r="G11" s="5">
        <f t="shared" si="2"/>
        <v>514409.75999999995</v>
      </c>
      <c r="H11" s="5">
        <f>IF(F11="","",AVERAGE(F6:F11))</f>
        <v>85734.959999999992</v>
      </c>
      <c r="I11" s="251">
        <f t="shared" si="3"/>
        <v>1028819.5199999999</v>
      </c>
      <c r="L11" s="324">
        <f>E11/C11-100%</f>
        <v>0.4859966197685528</v>
      </c>
    </row>
    <row r="12" spans="2:16" ht="23.1" customHeight="1">
      <c r="B12" s="250">
        <v>45845</v>
      </c>
      <c r="C12" s="5">
        <v>725817.27</v>
      </c>
      <c r="D12" s="3">
        <v>46210</v>
      </c>
      <c r="E12" s="4" t="str">
        <f>IF('Meta x Real de Vendas  Global'!D13=0,"",'Meta x Real de Vendas  Global'!D13)</f>
        <v/>
      </c>
      <c r="F12" s="46" t="str">
        <f t="shared" si="1"/>
        <v/>
      </c>
      <c r="G12" s="5" t="str">
        <f t="shared" si="2"/>
        <v/>
      </c>
      <c r="H12" s="5" t="str">
        <f>IF(F12="","",AVERAGE(F6:F12))</f>
        <v/>
      </c>
      <c r="I12" s="251" t="str">
        <f t="shared" si="3"/>
        <v/>
      </c>
      <c r="L12" s="296"/>
    </row>
    <row r="13" spans="2:16" ht="23.1" customHeight="1">
      <c r="B13" s="250">
        <v>45876</v>
      </c>
      <c r="C13" s="5">
        <v>645154.36</v>
      </c>
      <c r="D13" s="3">
        <v>46241</v>
      </c>
      <c r="E13" s="4" t="str">
        <f>IF('Meta x Real de Vendas  Global'!D14=0,"",'Meta x Real de Vendas  Global'!D14)</f>
        <v/>
      </c>
      <c r="F13" s="46" t="str">
        <f>IF(E13="","",(E13-C13))</f>
        <v/>
      </c>
      <c r="G13" s="5" t="str">
        <f t="shared" si="2"/>
        <v/>
      </c>
      <c r="H13" s="5" t="str">
        <f>IF(F13="","",AVERAGE(F6:F13))</f>
        <v/>
      </c>
      <c r="I13" s="251" t="str">
        <f>IF(H13="","",(H13*12))</f>
        <v/>
      </c>
      <c r="L13" s="296"/>
    </row>
    <row r="14" spans="2:16" ht="23.1" customHeight="1">
      <c r="B14" s="250">
        <v>45907</v>
      </c>
      <c r="C14" s="5">
        <v>785445.66</v>
      </c>
      <c r="D14" s="3">
        <v>46272</v>
      </c>
      <c r="E14" s="4" t="str">
        <f>IF('Meta x Real de Vendas  Global'!D15=0,"",'Meta x Real de Vendas  Global'!D15)</f>
        <v/>
      </c>
      <c r="F14" s="46" t="str">
        <f t="shared" si="1"/>
        <v/>
      </c>
      <c r="G14" s="5" t="str">
        <f t="shared" si="2"/>
        <v/>
      </c>
      <c r="H14" s="5" t="str">
        <f>IF(F14="","",AVERAGE(F6:F14))</f>
        <v/>
      </c>
      <c r="I14" s="251" t="str">
        <f t="shared" si="3"/>
        <v/>
      </c>
      <c r="L14" s="296"/>
    </row>
    <row r="15" spans="2:16" ht="23.1" customHeight="1">
      <c r="B15" s="250">
        <v>45938</v>
      </c>
      <c r="C15" s="5">
        <v>785549.95</v>
      </c>
      <c r="D15" s="3">
        <v>46303</v>
      </c>
      <c r="E15" s="4" t="str">
        <f>IF('Meta x Real de Vendas  Global'!D16=0,"",'Meta x Real de Vendas  Global'!D16)</f>
        <v/>
      </c>
      <c r="F15" s="46" t="str">
        <f t="shared" si="1"/>
        <v/>
      </c>
      <c r="G15" s="5" t="str">
        <f>IF(F15="","",F15+G14)</f>
        <v/>
      </c>
      <c r="H15" s="5" t="str">
        <f>IF(F15="","",AVERAGE(F6:F15))</f>
        <v/>
      </c>
      <c r="I15" s="251" t="str">
        <f t="shared" si="3"/>
        <v/>
      </c>
      <c r="L15" s="296"/>
    </row>
    <row r="16" spans="2:16" ht="23.1" customHeight="1">
      <c r="B16" s="250">
        <v>45969</v>
      </c>
      <c r="C16" s="5">
        <v>548892.29</v>
      </c>
      <c r="D16" s="3">
        <v>46334</v>
      </c>
      <c r="E16" s="4" t="str">
        <f>IF('Meta x Real de Vendas  Global'!D17=0,"",'Meta x Real de Vendas  Global'!D17)</f>
        <v/>
      </c>
      <c r="F16" s="46" t="str">
        <f>IF(E16="","",(E16-C16))</f>
        <v/>
      </c>
      <c r="G16" s="5" t="str">
        <f t="shared" si="2"/>
        <v/>
      </c>
      <c r="H16" s="5" t="str">
        <f>IF(F16="","",AVERAGE(F6:F16))</f>
        <v/>
      </c>
      <c r="I16" s="251" t="str">
        <f>IF(H16="","",(H16*12))</f>
        <v/>
      </c>
      <c r="L16" s="296"/>
    </row>
    <row r="17" spans="2:12" ht="23.1" customHeight="1">
      <c r="B17" s="252">
        <v>46009</v>
      </c>
      <c r="C17" s="253">
        <v>498132.02</v>
      </c>
      <c r="D17" s="254">
        <v>46374</v>
      </c>
      <c r="E17" s="253"/>
      <c r="F17" s="253" t="str">
        <f>IF(E17="","",(E17-C17))</f>
        <v/>
      </c>
      <c r="G17" s="253" t="str">
        <f t="shared" si="2"/>
        <v/>
      </c>
      <c r="H17" s="253" t="str">
        <f>IF(F17="","",AVERAGE(F6:F17))</f>
        <v/>
      </c>
      <c r="I17" s="255" t="str">
        <f>IF(H17="","",(H17*12))</f>
        <v/>
      </c>
      <c r="L17" s="296"/>
    </row>
    <row r="18" spans="2:12" ht="8.25" customHeight="1">
      <c r="C18" s="53"/>
    </row>
    <row r="19" spans="2:12">
      <c r="C19" s="53">
        <f>SUM(C6:C17)</f>
        <v>6728898.4000000004</v>
      </c>
      <c r="E19" s="53">
        <f>SUM(E6:E17)</f>
        <v>3254316.61</v>
      </c>
      <c r="F19" s="53">
        <f>E19/C19</f>
        <v>0.48363289450172109</v>
      </c>
      <c r="G19" s="54"/>
    </row>
    <row r="20" spans="2:12">
      <c r="D20" s="210" t="s">
        <v>46</v>
      </c>
      <c r="E20" s="210" t="s">
        <v>47</v>
      </c>
      <c r="F20" s="210" t="s">
        <v>48</v>
      </c>
    </row>
    <row r="21" spans="2:12">
      <c r="D21" s="212">
        <f t="shared" ref="D21:D32" si="4">IF(C6="","",C6)</f>
        <v>398197.21</v>
      </c>
      <c r="E21" s="212">
        <f t="shared" ref="E21:E32" si="5">IF(E6="","",E6)</f>
        <v>399844.11</v>
      </c>
      <c r="F21" s="212">
        <f>IF(E21="","",(E21-D21))</f>
        <v>1646.8999999999651</v>
      </c>
    </row>
    <row r="22" spans="2:12">
      <c r="D22" s="212">
        <f t="shared" si="4"/>
        <v>312248.89</v>
      </c>
      <c r="E22" s="212">
        <f t="shared" si="5"/>
        <v>401528.5</v>
      </c>
      <c r="F22" s="212">
        <f t="shared" ref="F22:F30" si="6">IF(E22="","",(E22-D22))</f>
        <v>89279.609999999986</v>
      </c>
    </row>
    <row r="23" spans="2:12">
      <c r="D23" s="212">
        <f t="shared" si="4"/>
        <v>532104.43000000005</v>
      </c>
      <c r="E23" s="212">
        <f t="shared" si="5"/>
        <v>662845.27</v>
      </c>
      <c r="F23" s="212">
        <f t="shared" si="6"/>
        <v>130740.83999999997</v>
      </c>
    </row>
    <row r="24" spans="2:12">
      <c r="D24" s="212">
        <f t="shared" si="4"/>
        <v>414130.56</v>
      </c>
      <c r="E24" s="212">
        <f t="shared" si="5"/>
        <v>591216.71</v>
      </c>
      <c r="F24" s="212">
        <f t="shared" si="6"/>
        <v>177086.14999999997</v>
      </c>
    </row>
    <row r="25" spans="2:12">
      <c r="D25" s="212">
        <f t="shared" si="4"/>
        <v>542304.22</v>
      </c>
      <c r="E25" s="212">
        <f t="shared" si="5"/>
        <v>395074.44</v>
      </c>
      <c r="F25" s="212">
        <f t="shared" si="6"/>
        <v>-147229.77999999997</v>
      </c>
    </row>
    <row r="26" spans="2:12">
      <c r="D26" s="212">
        <f t="shared" si="4"/>
        <v>540921.54</v>
      </c>
      <c r="E26" s="212">
        <f t="shared" si="5"/>
        <v>803807.58000000007</v>
      </c>
      <c r="F26" s="212">
        <f t="shared" si="6"/>
        <v>262886.04000000004</v>
      </c>
    </row>
    <row r="27" spans="2:12">
      <c r="D27" s="212">
        <f t="shared" si="4"/>
        <v>725817.27</v>
      </c>
      <c r="E27" s="212" t="str">
        <f t="shared" si="5"/>
        <v/>
      </c>
      <c r="F27" s="212" t="str">
        <f t="shared" si="6"/>
        <v/>
      </c>
    </row>
    <row r="28" spans="2:12">
      <c r="D28" s="212">
        <f t="shared" si="4"/>
        <v>645154.36</v>
      </c>
      <c r="E28" s="212" t="str">
        <f t="shared" si="5"/>
        <v/>
      </c>
      <c r="F28" s="212" t="str">
        <f t="shared" si="6"/>
        <v/>
      </c>
    </row>
    <row r="29" spans="2:12">
      <c r="D29" s="212">
        <f t="shared" si="4"/>
        <v>785445.66</v>
      </c>
      <c r="E29" s="212" t="str">
        <f t="shared" si="5"/>
        <v/>
      </c>
      <c r="F29" s="212" t="str">
        <f t="shared" si="6"/>
        <v/>
      </c>
    </row>
    <row r="30" spans="2:12">
      <c r="D30" s="212">
        <f t="shared" si="4"/>
        <v>785549.95</v>
      </c>
      <c r="E30" s="212" t="str">
        <f t="shared" si="5"/>
        <v/>
      </c>
      <c r="F30" s="212" t="str">
        <f t="shared" si="6"/>
        <v/>
      </c>
    </row>
    <row r="31" spans="2:12">
      <c r="D31" s="212">
        <f t="shared" si="4"/>
        <v>548892.29</v>
      </c>
      <c r="E31" s="212" t="str">
        <f t="shared" si="5"/>
        <v/>
      </c>
      <c r="F31" s="212" t="str">
        <f>IF(E31="","",(E31-D31))</f>
        <v/>
      </c>
    </row>
    <row r="32" spans="2:12">
      <c r="D32" s="212">
        <f t="shared" si="4"/>
        <v>498132.02</v>
      </c>
      <c r="E32" s="212" t="str">
        <f t="shared" si="5"/>
        <v/>
      </c>
      <c r="F32" s="212" t="str">
        <f>IF(E32="","",(E32-D32))</f>
        <v/>
      </c>
    </row>
    <row r="34" ht="9" customHeight="1"/>
  </sheetData>
  <mergeCells count="9">
    <mergeCell ref="B2:I2"/>
    <mergeCell ref="B3:C3"/>
    <mergeCell ref="D3:I3"/>
    <mergeCell ref="B4:B5"/>
    <mergeCell ref="C4:C5"/>
    <mergeCell ref="D4:D5"/>
    <mergeCell ref="E4:E5"/>
    <mergeCell ref="F4:F5"/>
    <mergeCell ref="G4:I4"/>
  </mergeCells>
  <printOptions horizontalCentered="1"/>
  <pageMargins left="0.19685039370078741" right="0.19685039370078741" top="0.19685039370078741" bottom="0.19685039370078741" header="0" footer="0"/>
  <pageSetup paperSize="9" scale="88" orientation="landscape" horizontalDpi="360" verticalDpi="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D372-5B00-48DB-95DD-4D1E477966C6}">
  <sheetPr>
    <tabColor theme="7"/>
    <pageSetUpPr fitToPage="1"/>
  </sheetPr>
  <dimension ref="B1:Y41"/>
  <sheetViews>
    <sheetView showGridLines="0" topLeftCell="B1" zoomScale="70" zoomScaleNormal="70" workbookViewId="0">
      <pane ySplit="6" topLeftCell="A10" activePane="bottomLeft" state="frozen"/>
      <selection pane="bottomLeft" activeCell="P13" sqref="P13"/>
      <selection activeCell="M23" sqref="M23"/>
    </sheetView>
  </sheetViews>
  <sheetFormatPr defaultColWidth="13.85546875" defaultRowHeight="18.95" customHeight="1"/>
  <cols>
    <col min="1" max="1" width="1.140625" style="6" customWidth="1"/>
    <col min="2" max="2" width="23.140625" style="6" bestFit="1" customWidth="1"/>
    <col min="3" max="10" width="23.140625" style="6" hidden="1" customWidth="1"/>
    <col min="11" max="21" width="20.7109375" style="6" customWidth="1"/>
    <col min="22" max="22" width="13.85546875" style="6"/>
    <col min="23" max="32" width="9.140625" style="6" customWidth="1"/>
    <col min="33" max="36" width="13.85546875" style="6"/>
    <col min="37" max="37" width="13.85546875" style="6" customWidth="1"/>
    <col min="38" max="16384" width="13.85546875" style="6"/>
  </cols>
  <sheetData>
    <row r="1" spans="2:25" ht="6.95" customHeight="1" thickBot="1"/>
    <row r="2" spans="2:25" s="1" customFormat="1" ht="45" customHeight="1">
      <c r="B2" s="472" t="s">
        <v>81</v>
      </c>
      <c r="C2" s="510"/>
      <c r="D2" s="510"/>
      <c r="E2" s="510"/>
      <c r="F2" s="510"/>
      <c r="G2" s="510"/>
      <c r="H2" s="510"/>
      <c r="I2" s="510"/>
      <c r="J2" s="510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4"/>
      <c r="W2" s="33"/>
      <c r="X2" s="33"/>
      <c r="Y2" s="33"/>
    </row>
    <row r="3" spans="2:25" ht="19.899999999999999" customHeight="1">
      <c r="B3" s="465">
        <v>2026</v>
      </c>
      <c r="C3" s="466"/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466"/>
      <c r="S3" s="524"/>
      <c r="T3" s="58" t="s">
        <v>50</v>
      </c>
      <c r="U3" s="59">
        <v>10700000</v>
      </c>
    </row>
    <row r="4" spans="2:25" ht="19.899999999999999" customHeight="1">
      <c r="B4" s="525"/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  <c r="N4" s="526"/>
      <c r="O4" s="526"/>
      <c r="P4" s="526"/>
      <c r="Q4" s="526"/>
      <c r="R4" s="526"/>
      <c r="S4" s="527"/>
      <c r="T4" s="64" t="s">
        <v>51</v>
      </c>
      <c r="U4" s="63">
        <v>8700000</v>
      </c>
    </row>
    <row r="5" spans="2:25" ht="19.899999999999999" customHeight="1">
      <c r="B5" s="516" t="s">
        <v>52</v>
      </c>
      <c r="C5" s="502" t="s">
        <v>82</v>
      </c>
      <c r="D5" s="504" t="s">
        <v>83</v>
      </c>
      <c r="E5" s="504" t="s">
        <v>84</v>
      </c>
      <c r="F5" s="484" t="s">
        <v>85</v>
      </c>
      <c r="G5" s="484" t="s">
        <v>86</v>
      </c>
      <c r="H5" s="484" t="s">
        <v>87</v>
      </c>
      <c r="I5" s="484" t="s">
        <v>88</v>
      </c>
      <c r="J5" s="484" t="s">
        <v>89</v>
      </c>
      <c r="K5" s="518" t="s">
        <v>90</v>
      </c>
      <c r="L5" s="519"/>
      <c r="M5" s="520" t="s">
        <v>91</v>
      </c>
      <c r="N5" s="485"/>
      <c r="O5" s="520" t="s">
        <v>92</v>
      </c>
      <c r="P5" s="485"/>
      <c r="Q5" s="521" t="s">
        <v>93</v>
      </c>
      <c r="R5" s="522"/>
      <c r="S5" s="522"/>
      <c r="T5" s="522"/>
      <c r="U5" s="523"/>
    </row>
    <row r="6" spans="2:25" ht="30" customHeight="1">
      <c r="B6" s="517"/>
      <c r="C6" s="503"/>
      <c r="D6" s="505"/>
      <c r="E6" s="505"/>
      <c r="F6" s="485"/>
      <c r="G6" s="485"/>
      <c r="H6" s="485"/>
      <c r="I6" s="485"/>
      <c r="J6" s="485"/>
      <c r="K6" s="330" t="s">
        <v>53</v>
      </c>
      <c r="L6" s="331" t="s">
        <v>47</v>
      </c>
      <c r="M6" s="330" t="s">
        <v>53</v>
      </c>
      <c r="N6" s="331" t="s">
        <v>47</v>
      </c>
      <c r="O6" s="330" t="s">
        <v>53</v>
      </c>
      <c r="P6" s="331" t="s">
        <v>47</v>
      </c>
      <c r="Q6" s="330" t="s">
        <v>53</v>
      </c>
      <c r="R6" s="335" t="s">
        <v>47</v>
      </c>
      <c r="S6" s="335" t="s">
        <v>56</v>
      </c>
      <c r="T6" s="335" t="s">
        <v>57</v>
      </c>
      <c r="U6" s="336" t="s">
        <v>58</v>
      </c>
    </row>
    <row r="7" spans="2:25" ht="22.5" customHeight="1">
      <c r="B7" s="50" t="s">
        <v>61</v>
      </c>
      <c r="C7" s="65"/>
      <c r="D7" s="65"/>
      <c r="E7" s="65"/>
      <c r="F7" s="65"/>
      <c r="G7" s="65"/>
      <c r="H7" s="65"/>
      <c r="I7" s="65"/>
      <c r="J7" s="65"/>
      <c r="K7" s="332">
        <f>SUM('Histórico de Fatu. FARDIN P.R.'!E31+'Histórico de Fatu. FARDIN P.R.'!E40+'Histórico de Fatu. FARDIN P.R.'!E46+'Histórico de Fatu. FARDIN P.R.'!E52+'Histórico de Fatu. FARDIN P.R.'!E79)</f>
        <v>75000</v>
      </c>
      <c r="L7" s="333">
        <f>SUM('Histórico de Fatu. FARDIN P.R.'!E37,'Histórico de Fatu. FARDIN P.R.'!E43,'Histórico de Fatu. FARDIN P.R.'!E49,'Histórico de Fatu. FARDIN P.R.'!E55,'Histórico de Fatu. FARDIN P.R.'!E64,'Histórico de Fatu. FARDIN P.R.'!E70,'Histórico de Fatu. FARDIN P.R.'!E76)</f>
        <v>42200.020000000004</v>
      </c>
      <c r="M7" s="332">
        <f>('Histórico de Fatu. FARDIN P.R.'!E16)</f>
        <v>115000</v>
      </c>
      <c r="N7" s="333">
        <f>SUM('Histórico de Fatu. FARDIN P.R.'!E19)</f>
        <v>51609.93</v>
      </c>
      <c r="O7" s="332">
        <f>('Histórico de Fatu. FARDIN P.R.'!E22)</f>
        <v>360000</v>
      </c>
      <c r="P7" s="333">
        <f>SUM('Histórico de Fatu. FARDIN P.R.'!E28)</f>
        <v>306034.15999999997</v>
      </c>
      <c r="Q7" s="348">
        <f>SUM(K7,M7,O7)</f>
        <v>550000</v>
      </c>
      <c r="R7" s="349">
        <f>SUM(L7,N7,P7)</f>
        <v>399844.11</v>
      </c>
      <c r="S7" s="350">
        <f>IF(R7=0,"",R7/Q7)</f>
        <v>0.72698929090909092</v>
      </c>
      <c r="T7" s="337">
        <f>R7</f>
        <v>399844.11</v>
      </c>
      <c r="U7" s="338">
        <f>U4-R7</f>
        <v>8300155.8899999997</v>
      </c>
    </row>
    <row r="8" spans="2:25" ht="22.5" customHeight="1">
      <c r="B8" s="50" t="s">
        <v>94</v>
      </c>
      <c r="C8" s="65"/>
      <c r="D8" s="65"/>
      <c r="E8" s="65"/>
      <c r="F8" s="65"/>
      <c r="G8" s="65"/>
      <c r="H8" s="65"/>
      <c r="I8" s="65"/>
      <c r="J8" s="65"/>
      <c r="K8" s="332">
        <f>SUM('Histórico de Fatu. FARDIN P.R.'!F31,'Histórico de Fatu. FARDIN P.R.'!F40,'Histórico de Fatu. FARDIN P.R.'!F46,'Histórico de Fatu. FARDIN P.R.'!F52,'Histórico de Fatu. FARDIN P.R.'!F79)</f>
        <v>160000</v>
      </c>
      <c r="L8" s="333">
        <f>SUM('Histórico de Fatu. FARDIN P.R.'!F37,'Histórico de Fatu. FARDIN P.R.'!F43,'Histórico de Fatu. FARDIN P.R.'!F49,'Histórico de Fatu. FARDIN P.R.'!F55,'Histórico de Fatu. FARDIN P.R.'!F64,'Histórico de Fatu. FARDIN P.R.'!F70,'Histórico de Fatu. FARDIN P.R.'!F76)</f>
        <v>49153.68</v>
      </c>
      <c r="M8" s="332">
        <f>SUM('Histórico de Fatu. FARDIN P.R.'!F16)</f>
        <v>120000</v>
      </c>
      <c r="N8" s="333">
        <f>SUM('Histórico de Fatu. FARDIN P.R.'!F19)</f>
        <v>108390.94</v>
      </c>
      <c r="O8" s="332">
        <f>('Histórico de Fatu. FARDIN P.R.'!F22)</f>
        <v>320000</v>
      </c>
      <c r="P8" s="333">
        <f>SUM('Histórico de Fatu. FARDIN P.R.'!F28)</f>
        <v>243983.88</v>
      </c>
      <c r="Q8" s="348">
        <f t="shared" ref="Q8:Q18" si="0">SUM(K8,M8,O8)</f>
        <v>600000</v>
      </c>
      <c r="R8" s="349">
        <f>SUM(L8,N8,P8)</f>
        <v>401528.5</v>
      </c>
      <c r="S8" s="350">
        <f t="shared" ref="S8:S19" si="1">IF(R8=0,"",R8/Q8)</f>
        <v>0.66921416666666667</v>
      </c>
      <c r="T8" s="339">
        <f>IF(R8="",T7,R8+T7)</f>
        <v>801372.61</v>
      </c>
      <c r="U8" s="340">
        <f>U7-R8</f>
        <v>7898627.3899999997</v>
      </c>
    </row>
    <row r="9" spans="2:25" ht="22.5" customHeight="1">
      <c r="B9" s="50" t="s">
        <v>63</v>
      </c>
      <c r="C9" s="65"/>
      <c r="D9" s="65"/>
      <c r="E9" s="65"/>
      <c r="F9" s="65"/>
      <c r="G9" s="65"/>
      <c r="H9" s="65"/>
      <c r="I9" s="65"/>
      <c r="J9" s="65"/>
      <c r="K9" s="332">
        <f>SUM('Histórico de Fatu. FARDIN P.R.'!G31,'Histórico de Fatu. FARDIN P.R.'!G40,'Histórico de Fatu. FARDIN P.R.'!G46,'Histórico de Fatu. FARDIN P.R.'!G52,'Histórico de Fatu. FARDIN P.R.'!G67,'Histórico de Fatu. FARDIN P.R.'!G79)</f>
        <v>165000</v>
      </c>
      <c r="L9" s="334">
        <f>SUM('Histórico de Fatu. FARDIN P.R.'!G76,'Histórico de Fatu. FARDIN P.R.'!G70,'Histórico de Fatu. FARDIN P.R.'!G64,'Histórico de Fatu. FARDIN P.R.'!G55,'Histórico de Fatu. FARDIN P.R.'!G49,'Histórico de Fatu. FARDIN P.R.'!G43,'Histórico de Fatu. FARDIN P.R.'!G37)</f>
        <v>196977.46999999997</v>
      </c>
      <c r="M9" s="332">
        <f>SUM('Histórico de Fatu. FARDIN P.R.'!G16)</f>
        <v>120000</v>
      </c>
      <c r="N9" s="334">
        <f>SUM('Histórico de Fatu. FARDIN P.R.'!G19)</f>
        <v>167634.25</v>
      </c>
      <c r="O9" s="332">
        <f>('Histórico de Fatu. FARDIN P.R.'!G22)</f>
        <v>400000</v>
      </c>
      <c r="P9" s="334">
        <f>SUM('Histórico de Fatu. FARDIN P.R.'!G28)</f>
        <v>302009.59000000003</v>
      </c>
      <c r="Q9" s="348">
        <f>SUM(K9,M9,O9)</f>
        <v>685000</v>
      </c>
      <c r="R9" s="349">
        <f>SUM(L9,N9,P9)</f>
        <v>666621.31000000006</v>
      </c>
      <c r="S9" s="350">
        <f t="shared" si="1"/>
        <v>0.97316979562043804</v>
      </c>
      <c r="T9" s="339">
        <f>IF(R9="",T8,R9+T8)</f>
        <v>1467993.92</v>
      </c>
      <c r="U9" s="340">
        <f t="shared" ref="U9:U18" si="2">U8-R9</f>
        <v>7232006.0800000001</v>
      </c>
    </row>
    <row r="10" spans="2:25" ht="22.5" customHeight="1">
      <c r="B10" s="50" t="s">
        <v>64</v>
      </c>
      <c r="C10" s="65"/>
      <c r="D10" s="65"/>
      <c r="E10" s="65"/>
      <c r="F10" s="65"/>
      <c r="G10" s="65"/>
      <c r="H10" s="65"/>
      <c r="I10" s="65"/>
      <c r="J10" s="65"/>
      <c r="K10" s="332">
        <v>115000</v>
      </c>
      <c r="L10" s="333">
        <f>SUM('Histórico de Fatu. FARDIN P.R.'!H37,'Histórico de Fatu. FARDIN P.R.'!H43,'Histórico de Fatu. FARDIN P.R.'!H49,'Histórico de Fatu. FARDIN P.R.'!H55,'Histórico de Fatu. FARDIN P.R.'!H64,'Histórico de Fatu. FARDIN P.R.'!H70,'Histórico de Fatu. FARDIN P.R.'!H76)</f>
        <v>141376.39000000001</v>
      </c>
      <c r="M10" s="332">
        <v>175000</v>
      </c>
      <c r="N10" s="333">
        <f>SUM('Histórico de Fatu. FARDIN P.R.'!H19)</f>
        <v>113846.33</v>
      </c>
      <c r="O10" s="332">
        <v>360000</v>
      </c>
      <c r="P10" s="333">
        <f>SUM('Histórico de Fatu. FARDIN P.R.'!H28)</f>
        <v>335993.99</v>
      </c>
      <c r="Q10" s="348">
        <f t="shared" si="0"/>
        <v>650000</v>
      </c>
      <c r="R10" s="349">
        <f>SUM(L10,N10,P10)</f>
        <v>591216.71</v>
      </c>
      <c r="S10" s="350">
        <f t="shared" si="1"/>
        <v>0.90956416923076921</v>
      </c>
      <c r="T10" s="339">
        <f t="shared" ref="T10:T17" si="3">IF(R10="",T9,R10+T9)</f>
        <v>2059210.63</v>
      </c>
      <c r="U10" s="340">
        <f>U9-R10</f>
        <v>6640789.3700000001</v>
      </c>
    </row>
    <row r="11" spans="2:25" ht="22.5" customHeight="1">
      <c r="B11" s="50" t="s">
        <v>65</v>
      </c>
      <c r="C11" s="65"/>
      <c r="D11" s="65"/>
      <c r="E11" s="65"/>
      <c r="F11" s="65"/>
      <c r="G11" s="65"/>
      <c r="H11" s="65"/>
      <c r="I11" s="65"/>
      <c r="J11" s="65"/>
      <c r="K11" s="332">
        <v>165000</v>
      </c>
      <c r="L11" s="333">
        <f>SUM('Histórico de Fatu. FARDIN P.R.'!I37,'Histórico de Fatu. FARDIN P.R.'!I43,'Histórico de Fatu. FARDIN P.R.'!I49,'Histórico de Fatu. FARDIN P.R.'!I55,'Histórico de Fatu. FARDIN P.R.'!I64,'Histórico de Fatu. FARDIN P.R.'!I70,'Histórico de Fatu. FARDIN P.R.'!I76)</f>
        <v>61184.97</v>
      </c>
      <c r="M11" s="332">
        <v>185000</v>
      </c>
      <c r="N11" s="333">
        <f>'Histórico de Fatu. FARDIN P.R.'!I19</f>
        <v>100565.47</v>
      </c>
      <c r="O11" s="332">
        <v>450000</v>
      </c>
      <c r="P11" s="333">
        <f>'Histórico de Fatu. FARDIN P.R.'!I28</f>
        <v>233324</v>
      </c>
      <c r="Q11" s="348">
        <f>SUM(K11,M11,O11)</f>
        <v>800000</v>
      </c>
      <c r="R11" s="349">
        <f>SUM(L11,N11,P11)</f>
        <v>395074.44</v>
      </c>
      <c r="S11" s="350">
        <f>IF(R11=0,"",R11/Q11)</f>
        <v>0.49384305000000001</v>
      </c>
      <c r="T11" s="339">
        <f t="shared" si="3"/>
        <v>2454285.0699999998</v>
      </c>
      <c r="U11" s="340">
        <f t="shared" si="2"/>
        <v>6245714.9299999997</v>
      </c>
    </row>
    <row r="12" spans="2:25" ht="22.5" customHeight="1">
      <c r="B12" s="50" t="s">
        <v>66</v>
      </c>
      <c r="C12" s="65"/>
      <c r="D12" s="65"/>
      <c r="E12" s="65"/>
      <c r="F12" s="65"/>
      <c r="G12" s="65"/>
      <c r="H12" s="65"/>
      <c r="I12" s="65"/>
      <c r="J12" s="65"/>
      <c r="K12" s="332">
        <v>160000</v>
      </c>
      <c r="L12" s="333">
        <f>SUM('Histórico de Fatu. FARDIN P.R.'!J37+'Histórico de Fatu. FARDIN P.R.'!J43+'Histórico de Fatu. FARDIN P.R.'!J49+'Histórico de Fatu. FARDIN P.R.'!J55+'Histórico de Fatu. FARDIN P.R.'!J64+'Histórico de Fatu. FARDIN P.R.'!J70+'Histórico de Fatu. FARDIN P.R.'!J76+'Histórico de Fatu. FARDIN P.R.'!J85)</f>
        <v>308667.79000000004</v>
      </c>
      <c r="M12" s="332">
        <v>180000</v>
      </c>
      <c r="N12" s="333">
        <f>'Histórico de Fatu. FARDIN P.R.'!J19</f>
        <v>139358.72</v>
      </c>
      <c r="O12" s="332">
        <v>475000</v>
      </c>
      <c r="P12" s="333">
        <f>'Histórico de Fatu. FARDIN P.R.'!J28</f>
        <v>355781.07</v>
      </c>
      <c r="Q12" s="348">
        <f t="shared" si="0"/>
        <v>815000</v>
      </c>
      <c r="R12" s="349">
        <f>SUM(L12,N12,P12)</f>
        <v>803807.58000000007</v>
      </c>
      <c r="S12" s="350">
        <f t="shared" si="1"/>
        <v>0.98626696932515345</v>
      </c>
      <c r="T12" s="339">
        <f t="shared" si="3"/>
        <v>3258092.65</v>
      </c>
      <c r="U12" s="340">
        <f t="shared" si="2"/>
        <v>5441907.3499999996</v>
      </c>
    </row>
    <row r="13" spans="2:25" ht="22.5" customHeight="1">
      <c r="B13" s="50" t="s">
        <v>67</v>
      </c>
      <c r="C13" s="65"/>
      <c r="D13" s="65"/>
      <c r="E13" s="65"/>
      <c r="F13" s="65"/>
      <c r="G13" s="65"/>
      <c r="H13" s="65"/>
      <c r="I13" s="65"/>
      <c r="J13" s="65"/>
      <c r="K13" s="332">
        <v>230000</v>
      </c>
      <c r="L13" s="333"/>
      <c r="M13" s="332">
        <v>170000</v>
      </c>
      <c r="N13" s="333"/>
      <c r="O13" s="332">
        <v>500000</v>
      </c>
      <c r="P13" s="333"/>
      <c r="Q13" s="348">
        <f t="shared" si="0"/>
        <v>900000</v>
      </c>
      <c r="R13" s="349">
        <f t="shared" ref="R11:R17" si="4">SUM(L13,N13,P13)</f>
        <v>0</v>
      </c>
      <c r="S13" s="350" t="str">
        <f t="shared" si="1"/>
        <v/>
      </c>
      <c r="T13" s="339">
        <f t="shared" si="3"/>
        <v>3258092.65</v>
      </c>
      <c r="U13" s="340">
        <f t="shared" si="2"/>
        <v>5441907.3499999996</v>
      </c>
    </row>
    <row r="14" spans="2:25" ht="22.5" customHeight="1">
      <c r="B14" s="50" t="s">
        <v>68</v>
      </c>
      <c r="C14" s="65"/>
      <c r="D14" s="65"/>
      <c r="E14" s="65"/>
      <c r="F14" s="65"/>
      <c r="G14" s="65"/>
      <c r="H14" s="65"/>
      <c r="I14" s="65"/>
      <c r="J14" s="65"/>
      <c r="K14" s="332">
        <v>185000</v>
      </c>
      <c r="L14" s="333"/>
      <c r="M14" s="332">
        <v>160000</v>
      </c>
      <c r="N14" s="333"/>
      <c r="O14" s="332">
        <v>485000</v>
      </c>
      <c r="P14" s="333"/>
      <c r="Q14" s="348">
        <f t="shared" si="0"/>
        <v>830000</v>
      </c>
      <c r="R14" s="349">
        <f t="shared" si="4"/>
        <v>0</v>
      </c>
      <c r="S14" s="350" t="str">
        <f t="shared" si="1"/>
        <v/>
      </c>
      <c r="T14" s="339">
        <f t="shared" si="3"/>
        <v>3258092.65</v>
      </c>
      <c r="U14" s="340">
        <f t="shared" si="2"/>
        <v>5441907.3499999996</v>
      </c>
    </row>
    <row r="15" spans="2:25" ht="22.5" customHeight="1">
      <c r="B15" s="50" t="s">
        <v>69</v>
      </c>
      <c r="C15" s="65"/>
      <c r="D15" s="65"/>
      <c r="E15" s="65"/>
      <c r="F15" s="65"/>
      <c r="G15" s="65"/>
      <c r="H15" s="65"/>
      <c r="I15" s="65"/>
      <c r="J15" s="65"/>
      <c r="K15" s="332">
        <v>200000</v>
      </c>
      <c r="L15" s="333"/>
      <c r="M15" s="332">
        <v>175000</v>
      </c>
      <c r="N15" s="333"/>
      <c r="O15" s="332">
        <v>535000</v>
      </c>
      <c r="P15" s="333"/>
      <c r="Q15" s="348">
        <f t="shared" si="0"/>
        <v>910000</v>
      </c>
      <c r="R15" s="349">
        <f t="shared" si="4"/>
        <v>0</v>
      </c>
      <c r="S15" s="350" t="str">
        <f t="shared" si="1"/>
        <v/>
      </c>
      <c r="T15" s="339">
        <f t="shared" si="3"/>
        <v>3258092.65</v>
      </c>
      <c r="U15" s="340">
        <f t="shared" si="2"/>
        <v>5441907.3499999996</v>
      </c>
    </row>
    <row r="16" spans="2:25" ht="22.5" customHeight="1">
      <c r="B16" s="50" t="s">
        <v>70</v>
      </c>
      <c r="C16" s="65"/>
      <c r="D16" s="65"/>
      <c r="E16" s="65"/>
      <c r="F16" s="65"/>
      <c r="G16" s="65"/>
      <c r="H16" s="65"/>
      <c r="I16" s="65"/>
      <c r="J16" s="65"/>
      <c r="K16" s="332">
        <v>175000</v>
      </c>
      <c r="L16" s="333"/>
      <c r="M16" s="332">
        <v>150000</v>
      </c>
      <c r="N16" s="333"/>
      <c r="O16" s="332">
        <v>500000</v>
      </c>
      <c r="P16" s="333"/>
      <c r="Q16" s="348">
        <f t="shared" si="0"/>
        <v>825000</v>
      </c>
      <c r="R16" s="349">
        <f t="shared" si="4"/>
        <v>0</v>
      </c>
      <c r="S16" s="350" t="str">
        <f t="shared" si="1"/>
        <v/>
      </c>
      <c r="T16" s="339">
        <f t="shared" si="3"/>
        <v>3258092.65</v>
      </c>
      <c r="U16" s="340">
        <f t="shared" si="2"/>
        <v>5441907.3499999996</v>
      </c>
    </row>
    <row r="17" spans="2:22" ht="22.5" customHeight="1">
      <c r="B17" s="50" t="s">
        <v>71</v>
      </c>
      <c r="C17" s="68">
        <v>149636.88</v>
      </c>
      <c r="D17" s="68">
        <v>481459.33</v>
      </c>
      <c r="E17" s="68">
        <v>36688.65</v>
      </c>
      <c r="F17" s="68">
        <v>103387.05</v>
      </c>
      <c r="G17" s="68">
        <v>119559.44</v>
      </c>
      <c r="H17" s="68">
        <v>86830.88</v>
      </c>
      <c r="I17" s="68">
        <v>61577.440000000002</v>
      </c>
      <c r="J17" s="68">
        <v>45972.21</v>
      </c>
      <c r="K17" s="332">
        <v>150000</v>
      </c>
      <c r="L17" s="333"/>
      <c r="M17" s="332">
        <v>115000</v>
      </c>
      <c r="N17" s="333"/>
      <c r="O17" s="332">
        <v>335000</v>
      </c>
      <c r="P17" s="333"/>
      <c r="Q17" s="348">
        <f t="shared" si="0"/>
        <v>600000</v>
      </c>
      <c r="R17" s="349">
        <f t="shared" si="4"/>
        <v>0</v>
      </c>
      <c r="S17" s="350" t="str">
        <f t="shared" si="1"/>
        <v/>
      </c>
      <c r="T17" s="339">
        <f t="shared" si="3"/>
        <v>3258092.65</v>
      </c>
      <c r="U17" s="340">
        <f t="shared" si="2"/>
        <v>5441907.3499999996</v>
      </c>
    </row>
    <row r="18" spans="2:22" ht="22.5" customHeight="1">
      <c r="B18" s="341" t="s">
        <v>72</v>
      </c>
      <c r="C18" s="342"/>
      <c r="D18" s="342">
        <f>67998.5+12375.77</f>
        <v>80374.27</v>
      </c>
      <c r="E18" s="342"/>
      <c r="F18" s="342">
        <v>54077.77</v>
      </c>
      <c r="G18" s="342">
        <f>24802.96+21511.09</f>
        <v>46314.05</v>
      </c>
      <c r="H18" s="342"/>
      <c r="I18" s="342">
        <v>3691.63</v>
      </c>
      <c r="J18" s="342">
        <v>8280</v>
      </c>
      <c r="K18" s="343">
        <v>135000</v>
      </c>
      <c r="L18" s="344"/>
      <c r="M18" s="343">
        <v>100000</v>
      </c>
      <c r="N18" s="344"/>
      <c r="O18" s="343">
        <v>300000</v>
      </c>
      <c r="P18" s="344"/>
      <c r="Q18" s="351">
        <f t="shared" si="0"/>
        <v>535000</v>
      </c>
      <c r="R18" s="352">
        <f>SUM(L18,N18,P18)</f>
        <v>0</v>
      </c>
      <c r="S18" s="353" t="str">
        <f t="shared" si="1"/>
        <v/>
      </c>
      <c r="T18" s="345">
        <f>IF(R18="",T17,R18+T17)</f>
        <v>3258092.65</v>
      </c>
      <c r="U18" s="346">
        <f t="shared" si="2"/>
        <v>5441907.3499999996</v>
      </c>
    </row>
    <row r="19" spans="2:22" ht="18.95" customHeight="1">
      <c r="B19" s="511" t="s">
        <v>54</v>
      </c>
      <c r="C19" s="494">
        <f>SUM(C7:C18)</f>
        <v>149636.88</v>
      </c>
      <c r="D19" s="494">
        <f t="shared" ref="D19:J19" si="5">SUM(D7:D18)</f>
        <v>561833.6</v>
      </c>
      <c r="E19" s="494">
        <f t="shared" si="5"/>
        <v>36688.65</v>
      </c>
      <c r="F19" s="494">
        <f t="shared" si="5"/>
        <v>157464.82</v>
      </c>
      <c r="G19" s="494">
        <f t="shared" si="5"/>
        <v>165873.49</v>
      </c>
      <c r="H19" s="494">
        <f t="shared" si="5"/>
        <v>86830.88</v>
      </c>
      <c r="I19" s="494">
        <f t="shared" si="5"/>
        <v>65269.07</v>
      </c>
      <c r="J19" s="494">
        <f t="shared" si="5"/>
        <v>54252.21</v>
      </c>
      <c r="K19" s="500">
        <f>SUM(K7:K18)</f>
        <v>1915000</v>
      </c>
      <c r="L19" s="498">
        <f>SUM(L7:L18)</f>
        <v>799560.32000000007</v>
      </c>
      <c r="M19" s="500">
        <f t="shared" ref="M19:R19" si="6">SUM(M7:M18)</f>
        <v>1765000</v>
      </c>
      <c r="N19" s="498">
        <f>SUM(N7:N18)</f>
        <v>681405.64</v>
      </c>
      <c r="O19" s="500">
        <f t="shared" si="6"/>
        <v>5020000</v>
      </c>
      <c r="P19" s="498">
        <f>SUM(P7:P18)</f>
        <v>1777126.6900000002</v>
      </c>
      <c r="Q19" s="500">
        <f>SUM(Q7:Q18)</f>
        <v>8700000</v>
      </c>
      <c r="R19" s="496">
        <f t="shared" si="6"/>
        <v>3258092.65</v>
      </c>
      <c r="S19" s="528">
        <f t="shared" si="1"/>
        <v>0.37449340804597703</v>
      </c>
      <c r="T19" s="512" t="s">
        <v>74</v>
      </c>
      <c r="U19" s="514">
        <f>R19-Q19</f>
        <v>-5441907.3499999996</v>
      </c>
    </row>
    <row r="20" spans="2:22" ht="18.95" customHeight="1">
      <c r="B20" s="476"/>
      <c r="C20" s="495"/>
      <c r="D20" s="495"/>
      <c r="E20" s="495"/>
      <c r="F20" s="495"/>
      <c r="G20" s="495"/>
      <c r="H20" s="495"/>
      <c r="I20" s="495"/>
      <c r="J20" s="495"/>
      <c r="K20" s="501"/>
      <c r="L20" s="499"/>
      <c r="M20" s="501"/>
      <c r="N20" s="499"/>
      <c r="O20" s="501"/>
      <c r="P20" s="499"/>
      <c r="Q20" s="501"/>
      <c r="R20" s="497"/>
      <c r="S20" s="529"/>
      <c r="T20" s="513"/>
      <c r="U20" s="515"/>
    </row>
    <row r="21" spans="2:22" ht="6.95" customHeight="1" thickBot="1"/>
    <row r="22" spans="2:22" ht="18.95" customHeight="1" thickBot="1">
      <c r="B22" s="326" t="s">
        <v>75</v>
      </c>
      <c r="C22" s="66"/>
      <c r="D22" s="66"/>
      <c r="E22" s="66"/>
      <c r="F22" s="66"/>
      <c r="G22" s="66"/>
      <c r="H22" s="66"/>
      <c r="I22" s="66"/>
      <c r="J22" s="66"/>
      <c r="K22" s="506">
        <f>IF(L19="","",100%-(L19/K19))</f>
        <v>0.58247502872062662</v>
      </c>
      <c r="L22" s="507"/>
      <c r="M22" s="506">
        <f>IF(N19="","",100%-(N19/M19))</f>
        <v>0.61393448158640229</v>
      </c>
      <c r="N22" s="507"/>
      <c r="O22" s="506">
        <f>IF(P19="","",100%-(P19/O19))</f>
        <v>0.64599069920318719</v>
      </c>
      <c r="P22" s="509"/>
      <c r="Q22" s="506">
        <f>IF(T18="","",100%-(T18/U4))</f>
        <v>0.62550659195402303</v>
      </c>
      <c r="R22" s="507"/>
      <c r="S22" s="507"/>
      <c r="T22" s="507"/>
      <c r="U22" s="508"/>
      <c r="V22" s="56"/>
    </row>
    <row r="23" spans="2:22" ht="6.95" customHeight="1" thickBot="1"/>
    <row r="24" spans="2:22" ht="18.95" customHeight="1" thickBot="1">
      <c r="B24" s="326" t="s">
        <v>76</v>
      </c>
      <c r="C24" s="67"/>
      <c r="D24" s="67"/>
      <c r="E24" s="67"/>
      <c r="F24" s="67"/>
      <c r="G24" s="67"/>
      <c r="H24" s="67"/>
      <c r="I24" s="67"/>
      <c r="J24" s="67"/>
      <c r="K24" s="506">
        <f>100%-K22</f>
        <v>0.41752497127937338</v>
      </c>
      <c r="L24" s="507"/>
      <c r="M24" s="506">
        <f>100%-M22</f>
        <v>0.38606551841359771</v>
      </c>
      <c r="N24" s="507"/>
      <c r="O24" s="506">
        <f>100%-O22</f>
        <v>0.35400930079681281</v>
      </c>
      <c r="P24" s="509"/>
      <c r="Q24" s="506">
        <f>100%-Q22</f>
        <v>0.37449340804597697</v>
      </c>
      <c r="R24" s="507"/>
      <c r="S24" s="507"/>
      <c r="T24" s="507"/>
      <c r="U24" s="508"/>
    </row>
    <row r="25" spans="2:22" ht="6.95" customHeight="1"/>
    <row r="28" spans="2:22" ht="18.95" customHeight="1">
      <c r="K28" s="6" t="str">
        <f>B5</f>
        <v>Data</v>
      </c>
      <c r="L28" s="6" t="str">
        <f>Q6</f>
        <v xml:space="preserve">Meta </v>
      </c>
      <c r="M28" s="6" t="s">
        <v>78</v>
      </c>
      <c r="N28" s="6" t="s">
        <v>79</v>
      </c>
    </row>
    <row r="29" spans="2:22" ht="18.95" customHeight="1">
      <c r="K29" s="329" t="str">
        <f>B7</f>
        <v>Janeiro</v>
      </c>
      <c r="L29" s="328">
        <f>Q7</f>
        <v>550000</v>
      </c>
      <c r="M29" s="328" t="str">
        <f>IF(Q7&lt;R7,R7,"")</f>
        <v/>
      </c>
      <c r="N29" s="328">
        <f>IF(Q7&gt;R7,R7,"")</f>
        <v>399844.11</v>
      </c>
    </row>
    <row r="30" spans="2:22" ht="18.95" customHeight="1">
      <c r="K30" s="329" t="str">
        <f t="shared" ref="K30:K40" si="7">B8</f>
        <v>Fevereiro</v>
      </c>
      <c r="L30" s="328">
        <f t="shared" ref="L30:L40" si="8">Q8</f>
        <v>600000</v>
      </c>
      <c r="M30" s="328" t="str">
        <f t="shared" ref="M30:M40" si="9">IF(Q8&lt;R8,R8,"")</f>
        <v/>
      </c>
      <c r="N30" s="328">
        <f t="shared" ref="N30:N40" si="10">IF(Q8&gt;R8,R8,"")</f>
        <v>401528.5</v>
      </c>
    </row>
    <row r="31" spans="2:22" ht="18.95" customHeight="1">
      <c r="K31" s="329" t="str">
        <f t="shared" si="7"/>
        <v>Março</v>
      </c>
      <c r="L31" s="328">
        <f t="shared" si="8"/>
        <v>685000</v>
      </c>
      <c r="M31" s="328" t="str">
        <f t="shared" si="9"/>
        <v/>
      </c>
      <c r="N31" s="328">
        <f t="shared" si="10"/>
        <v>666621.31000000006</v>
      </c>
    </row>
    <row r="32" spans="2:22" ht="18.95" customHeight="1">
      <c r="K32" s="329" t="str">
        <f t="shared" si="7"/>
        <v>Abril</v>
      </c>
      <c r="L32" s="328">
        <f t="shared" si="8"/>
        <v>650000</v>
      </c>
      <c r="M32" s="328" t="str">
        <f t="shared" si="9"/>
        <v/>
      </c>
      <c r="N32" s="328">
        <f t="shared" si="10"/>
        <v>591216.71</v>
      </c>
    </row>
    <row r="33" spans="11:14" ht="18.95" customHeight="1">
      <c r="K33" s="329" t="str">
        <f t="shared" si="7"/>
        <v>Maio</v>
      </c>
      <c r="L33" s="328">
        <f t="shared" si="8"/>
        <v>800000</v>
      </c>
      <c r="M33" s="328" t="str">
        <f t="shared" si="9"/>
        <v/>
      </c>
      <c r="N33" s="328">
        <f t="shared" si="10"/>
        <v>395074.44</v>
      </c>
    </row>
    <row r="34" spans="11:14" ht="18.95" customHeight="1">
      <c r="K34" s="329" t="str">
        <f t="shared" si="7"/>
        <v>Junho</v>
      </c>
      <c r="L34" s="328">
        <f t="shared" si="8"/>
        <v>815000</v>
      </c>
      <c r="M34" s="328" t="str">
        <f t="shared" si="9"/>
        <v/>
      </c>
      <c r="N34" s="328">
        <f t="shared" si="10"/>
        <v>803807.58000000007</v>
      </c>
    </row>
    <row r="35" spans="11:14" ht="18.95" customHeight="1">
      <c r="K35" s="329" t="str">
        <f t="shared" si="7"/>
        <v>Julho</v>
      </c>
      <c r="L35" s="328">
        <f t="shared" si="8"/>
        <v>900000</v>
      </c>
      <c r="M35" s="328" t="str">
        <f t="shared" si="9"/>
        <v/>
      </c>
      <c r="N35" s="328">
        <f t="shared" si="10"/>
        <v>0</v>
      </c>
    </row>
    <row r="36" spans="11:14" ht="18.95" customHeight="1">
      <c r="K36" s="329" t="str">
        <f t="shared" si="7"/>
        <v>Agosto</v>
      </c>
      <c r="L36" s="328">
        <f t="shared" si="8"/>
        <v>830000</v>
      </c>
      <c r="M36" s="328" t="str">
        <f t="shared" si="9"/>
        <v/>
      </c>
      <c r="N36" s="328">
        <f t="shared" si="10"/>
        <v>0</v>
      </c>
    </row>
    <row r="37" spans="11:14" ht="18.95" customHeight="1">
      <c r="K37" s="329" t="str">
        <f t="shared" si="7"/>
        <v>Setembro</v>
      </c>
      <c r="L37" s="328">
        <f t="shared" si="8"/>
        <v>910000</v>
      </c>
      <c r="M37" s="328" t="str">
        <f t="shared" si="9"/>
        <v/>
      </c>
      <c r="N37" s="328">
        <f t="shared" si="10"/>
        <v>0</v>
      </c>
    </row>
    <row r="38" spans="11:14" ht="18.95" customHeight="1">
      <c r="K38" s="329" t="str">
        <f t="shared" si="7"/>
        <v>Outubro</v>
      </c>
      <c r="L38" s="328">
        <f t="shared" si="8"/>
        <v>825000</v>
      </c>
      <c r="M38" s="328" t="str">
        <f t="shared" si="9"/>
        <v/>
      </c>
      <c r="N38" s="328">
        <f t="shared" si="10"/>
        <v>0</v>
      </c>
    </row>
    <row r="39" spans="11:14" ht="18.95" customHeight="1">
      <c r="K39" s="329" t="str">
        <f t="shared" si="7"/>
        <v>Novembro</v>
      </c>
      <c r="L39" s="328">
        <f t="shared" si="8"/>
        <v>600000</v>
      </c>
      <c r="M39" s="328" t="str">
        <f t="shared" si="9"/>
        <v/>
      </c>
      <c r="N39" s="328">
        <f t="shared" si="10"/>
        <v>0</v>
      </c>
    </row>
    <row r="40" spans="11:14" ht="18.95" customHeight="1">
      <c r="K40" s="329" t="str">
        <f t="shared" si="7"/>
        <v>Dezembro</v>
      </c>
      <c r="L40" s="328">
        <f t="shared" si="8"/>
        <v>535000</v>
      </c>
      <c r="M40" s="328" t="str">
        <f t="shared" si="9"/>
        <v/>
      </c>
      <c r="N40" s="328">
        <f t="shared" si="10"/>
        <v>0</v>
      </c>
    </row>
    <row r="41" spans="11:14" ht="18.95" customHeight="1">
      <c r="L41" s="328"/>
      <c r="M41" s="328"/>
      <c r="N41" s="328"/>
    </row>
  </sheetData>
  <mergeCells count="43">
    <mergeCell ref="B2:U2"/>
    <mergeCell ref="B19:B20"/>
    <mergeCell ref="K19:K20"/>
    <mergeCell ref="L19:L20"/>
    <mergeCell ref="T19:T20"/>
    <mergeCell ref="U19:U20"/>
    <mergeCell ref="N19:N20"/>
    <mergeCell ref="O19:O20"/>
    <mergeCell ref="B5:B6"/>
    <mergeCell ref="K5:L5"/>
    <mergeCell ref="M5:N5"/>
    <mergeCell ref="O5:P5"/>
    <mergeCell ref="Q5:U5"/>
    <mergeCell ref="B3:S4"/>
    <mergeCell ref="S19:S20"/>
    <mergeCell ref="M19:M20"/>
    <mergeCell ref="K24:L24"/>
    <mergeCell ref="Q24:U24"/>
    <mergeCell ref="Q22:U22"/>
    <mergeCell ref="O24:P24"/>
    <mergeCell ref="O22:P22"/>
    <mergeCell ref="M24:N24"/>
    <mergeCell ref="M22:N22"/>
    <mergeCell ref="K22:L22"/>
    <mergeCell ref="C5:C6"/>
    <mergeCell ref="D5:D6"/>
    <mergeCell ref="E5:E6"/>
    <mergeCell ref="F5:F6"/>
    <mergeCell ref="C19:C20"/>
    <mergeCell ref="D19:D20"/>
    <mergeCell ref="E19:E20"/>
    <mergeCell ref="F19:F20"/>
    <mergeCell ref="H19:H20"/>
    <mergeCell ref="J5:J6"/>
    <mergeCell ref="G19:G20"/>
    <mergeCell ref="R19:R20"/>
    <mergeCell ref="P19:P20"/>
    <mergeCell ref="G5:G6"/>
    <mergeCell ref="I5:I6"/>
    <mergeCell ref="Q19:Q20"/>
    <mergeCell ref="I19:I20"/>
    <mergeCell ref="J19:J20"/>
    <mergeCell ref="H5:H6"/>
  </mergeCells>
  <conditionalFormatting sqref="K24">
    <cfRule type="cellIs" dxfId="40" priority="6" operator="lessThan">
      <formula>0.5</formula>
    </cfRule>
  </conditionalFormatting>
  <conditionalFormatting sqref="P7:S18 N7:N18 L7:L18">
    <cfRule type="cellIs" dxfId="39" priority="2" operator="equal">
      <formula>0</formula>
    </cfRule>
  </conditionalFormatting>
  <conditionalFormatting sqref="M24">
    <cfRule type="cellIs" dxfId="38" priority="5" operator="lessThan">
      <formula>0.5</formula>
    </cfRule>
  </conditionalFormatting>
  <conditionalFormatting sqref="O24">
    <cfRule type="cellIs" dxfId="37" priority="4" operator="lessThan">
      <formula>0.5</formula>
    </cfRule>
  </conditionalFormatting>
  <conditionalFormatting sqref="Q24">
    <cfRule type="cellIs" dxfId="36" priority="8" operator="lessThan">
      <formula>0.5</formula>
    </cfRule>
  </conditionalFormatting>
  <conditionalFormatting sqref="S7:S18">
    <cfRule type="cellIs" dxfId="35" priority="1" operator="lessThan">
      <formula>1</formula>
    </cfRule>
  </conditionalFormatting>
  <pageMargins left="0.25" right="0.25" top="0.75" bottom="0.75" header="0.3" footer="0.3"/>
  <pageSetup paperSize="9" scale="81" fitToHeight="0" orientation="portrait" horizontalDpi="360" verticalDpi="36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AD89-5552-4CA7-8CC3-7F4F49DDBE5D}">
  <sheetPr>
    <tabColor theme="7"/>
    <outlinePr summaryBelow="0" summaryRight="0"/>
  </sheetPr>
  <dimension ref="B1:T36"/>
  <sheetViews>
    <sheetView showGridLines="0" topLeftCell="A10" workbookViewId="0">
      <selection activeCell="L12" sqref="L12"/>
    </sheetView>
  </sheetViews>
  <sheetFormatPr defaultColWidth="14.42578125" defaultRowHeight="15" customHeight="1"/>
  <cols>
    <col min="1" max="2" width="1.7109375" customWidth="1"/>
    <col min="3" max="3" width="15.28515625" customWidth="1"/>
    <col min="4" max="4" width="18.140625" bestFit="1" customWidth="1"/>
    <col min="5" max="16" width="16" customWidth="1"/>
    <col min="17" max="17" width="16.85546875" customWidth="1"/>
    <col min="18" max="19" width="1.7109375" customWidth="1"/>
  </cols>
  <sheetData>
    <row r="1" spans="2:20" ht="9.75" customHeight="1"/>
    <row r="2" spans="2:20" ht="9.75" customHeight="1">
      <c r="B2" s="93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5"/>
    </row>
    <row r="3" spans="2:20" ht="45" customHeight="1">
      <c r="B3" s="96"/>
      <c r="C3" s="540" t="s">
        <v>95</v>
      </c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97"/>
    </row>
    <row r="4" spans="2:20" ht="20.25" customHeight="1">
      <c r="B4" s="96"/>
      <c r="C4" s="583"/>
      <c r="D4" s="584"/>
      <c r="E4" s="584"/>
      <c r="F4" s="584"/>
      <c r="G4" s="584"/>
      <c r="H4" s="584"/>
      <c r="I4" s="584"/>
      <c r="J4" s="584"/>
      <c r="K4" s="584"/>
      <c r="L4" s="584"/>
      <c r="M4" s="584"/>
      <c r="N4" s="584"/>
      <c r="O4" s="584"/>
      <c r="P4" s="584"/>
      <c r="Q4" s="584"/>
      <c r="R4" s="97"/>
    </row>
    <row r="5" spans="2:20" ht="39.75" customHeight="1">
      <c r="B5" s="96"/>
      <c r="C5" s="545" t="s">
        <v>96</v>
      </c>
      <c r="D5" s="546"/>
      <c r="E5" s="546"/>
      <c r="F5" s="546"/>
      <c r="G5" s="546"/>
      <c r="H5" s="546"/>
      <c r="I5" s="546"/>
      <c r="J5" s="546"/>
      <c r="K5" s="546"/>
      <c r="L5" s="546"/>
      <c r="M5" s="546"/>
      <c r="N5" s="546"/>
      <c r="O5" s="546"/>
      <c r="P5" s="546"/>
      <c r="Q5" s="547"/>
      <c r="R5" s="97"/>
    </row>
    <row r="6" spans="2:20" ht="20.25" customHeight="1">
      <c r="B6" s="96"/>
      <c r="C6" s="543" t="s">
        <v>97</v>
      </c>
      <c r="D6" s="544"/>
      <c r="E6" s="84" t="s">
        <v>98</v>
      </c>
      <c r="F6" s="83" t="s">
        <v>99</v>
      </c>
      <c r="G6" s="83" t="s">
        <v>100</v>
      </c>
      <c r="H6" s="83" t="s">
        <v>101</v>
      </c>
      <c r="I6" s="83" t="s">
        <v>102</v>
      </c>
      <c r="J6" s="83" t="s">
        <v>103</v>
      </c>
      <c r="K6" s="83" t="s">
        <v>104</v>
      </c>
      <c r="L6" s="83" t="s">
        <v>105</v>
      </c>
      <c r="M6" s="83" t="s">
        <v>106</v>
      </c>
      <c r="N6" s="83" t="s">
        <v>107</v>
      </c>
      <c r="O6" s="83" t="s">
        <v>108</v>
      </c>
      <c r="P6" s="83" t="s">
        <v>109</v>
      </c>
      <c r="Q6" s="90" t="s">
        <v>110</v>
      </c>
      <c r="R6" s="97"/>
    </row>
    <row r="7" spans="2:20" ht="20.25" customHeight="1">
      <c r="B7" s="96"/>
      <c r="C7" s="541" t="s">
        <v>5</v>
      </c>
      <c r="D7" s="542"/>
      <c r="E7" s="224">
        <f>'Meta x Real de Vendas  FARDIN'!R7</f>
        <v>399844.11</v>
      </c>
      <c r="F7" s="224">
        <f>'Meta x Real de Vendas  FARDIN'!R8</f>
        <v>401528.5</v>
      </c>
      <c r="G7" s="224">
        <f>'Meta x Real de Vendas  FARDIN'!R9</f>
        <v>666621.31000000006</v>
      </c>
      <c r="H7" s="224">
        <f>'Meta x Real de Vendas  FARDIN'!R10</f>
        <v>591216.71</v>
      </c>
      <c r="I7" s="224">
        <f>'Meta x Real de Vendas  FARDIN'!R11</f>
        <v>395074.44</v>
      </c>
      <c r="J7" s="224">
        <f>'Meta x Real de Vendas  FARDIN'!R12</f>
        <v>803807.58000000007</v>
      </c>
      <c r="K7" s="224">
        <f>'Meta x Real de Vendas  Global'!E13</f>
        <v>0</v>
      </c>
      <c r="L7" s="224">
        <f>'Meta x Real de Vendas  Global'!E14</f>
        <v>0</v>
      </c>
      <c r="M7" s="224">
        <f>'Meta x Real de Vendas  Global'!E15</f>
        <v>0</v>
      </c>
      <c r="N7" s="224">
        <f>'Meta x Real de Vendas  Global'!E16</f>
        <v>0</v>
      </c>
      <c r="O7" s="224">
        <f>'Meta x Real de Vendas  Global'!E17</f>
        <v>0</v>
      </c>
      <c r="P7" s="224">
        <f>'Meta x Real de Vendas  Global'!E18</f>
        <v>0</v>
      </c>
      <c r="Q7" s="225">
        <f>SUM(E7:P7)</f>
        <v>3258092.65</v>
      </c>
      <c r="R7" s="97"/>
    </row>
    <row r="8" spans="2:20" ht="20.25" customHeight="1">
      <c r="B8" s="96"/>
      <c r="C8" s="585"/>
      <c r="D8" s="585"/>
      <c r="E8" s="585"/>
      <c r="F8" s="585"/>
      <c r="G8" s="585"/>
      <c r="H8" s="585"/>
      <c r="I8" s="585"/>
      <c r="J8" s="585"/>
      <c r="K8" s="585"/>
      <c r="L8" s="585"/>
      <c r="M8" s="585"/>
      <c r="N8" s="585"/>
      <c r="O8" s="585"/>
      <c r="P8" s="585"/>
      <c r="Q8" s="585"/>
      <c r="R8" s="97"/>
    </row>
    <row r="9" spans="2:20" ht="39.75" customHeight="1">
      <c r="B9" s="96"/>
      <c r="C9" s="422" t="s">
        <v>111</v>
      </c>
      <c r="D9" s="423"/>
      <c r="E9" s="423"/>
      <c r="F9" s="423"/>
      <c r="G9" s="423"/>
      <c r="H9" s="423"/>
      <c r="I9" s="423"/>
      <c r="J9" s="423"/>
      <c r="K9" s="423"/>
      <c r="L9" s="423"/>
      <c r="M9" s="423"/>
      <c r="N9" s="423"/>
      <c r="O9" s="423"/>
      <c r="P9" s="423"/>
      <c r="Q9" s="424"/>
      <c r="R9" s="97"/>
    </row>
    <row r="10" spans="2:20" ht="20.25" customHeight="1">
      <c r="B10" s="96"/>
      <c r="C10" s="412" t="s">
        <v>112</v>
      </c>
      <c r="D10" s="425"/>
      <c r="E10" s="105" t="s">
        <v>98</v>
      </c>
      <c r="F10" s="105" t="s">
        <v>99</v>
      </c>
      <c r="G10" s="105" t="s">
        <v>100</v>
      </c>
      <c r="H10" s="105" t="s">
        <v>101</v>
      </c>
      <c r="I10" s="105" t="s">
        <v>102</v>
      </c>
      <c r="J10" s="105" t="s">
        <v>103</v>
      </c>
      <c r="K10" s="105" t="s">
        <v>104</v>
      </c>
      <c r="L10" s="105" t="s">
        <v>105</v>
      </c>
      <c r="M10" s="105" t="s">
        <v>106</v>
      </c>
      <c r="N10" s="105" t="s">
        <v>107</v>
      </c>
      <c r="O10" s="105" t="s">
        <v>108</v>
      </c>
      <c r="P10" s="105" t="s">
        <v>109</v>
      </c>
      <c r="Q10" s="106" t="s">
        <v>110</v>
      </c>
      <c r="R10" s="97"/>
    </row>
    <row r="11" spans="2:20" ht="20.25" customHeight="1">
      <c r="B11" s="96"/>
      <c r="C11" s="538" t="s">
        <v>18</v>
      </c>
      <c r="D11" s="102" t="s">
        <v>77</v>
      </c>
      <c r="E11" s="103">
        <v>37300</v>
      </c>
      <c r="F11" s="103">
        <v>37300</v>
      </c>
      <c r="G11" s="103">
        <v>37300</v>
      </c>
      <c r="H11" s="103">
        <v>69150</v>
      </c>
      <c r="I11" s="103">
        <v>85100</v>
      </c>
      <c r="J11" s="103">
        <v>75750</v>
      </c>
      <c r="K11" s="103">
        <v>74500</v>
      </c>
      <c r="L11" s="103"/>
      <c r="M11" s="103"/>
      <c r="N11" s="103"/>
      <c r="O11" s="103"/>
      <c r="P11" s="103"/>
      <c r="Q11" s="107">
        <f>SUM(E11:P11)</f>
        <v>416400</v>
      </c>
      <c r="R11" s="97"/>
      <c r="T11" s="264">
        <v>700000</v>
      </c>
    </row>
    <row r="12" spans="2:20" ht="20.25" customHeight="1">
      <c r="B12" s="96"/>
      <c r="C12" s="536"/>
      <c r="D12" s="100" t="s">
        <v>47</v>
      </c>
      <c r="E12" s="101">
        <v>13415.91</v>
      </c>
      <c r="F12" s="101">
        <f>SUM(7488.52+8516.64+1250.88+328.12+73.15)</f>
        <v>17657.310000000001</v>
      </c>
      <c r="G12" s="101">
        <v>20333.439999999999</v>
      </c>
      <c r="H12" s="101">
        <v>21588.52</v>
      </c>
      <c r="I12" s="101">
        <v>16089.72</v>
      </c>
      <c r="J12" s="101">
        <v>33848.22</v>
      </c>
      <c r="K12" s="101"/>
      <c r="L12" s="101"/>
      <c r="M12" s="101"/>
      <c r="N12" s="101"/>
      <c r="O12" s="101"/>
      <c r="P12" s="101"/>
      <c r="Q12" s="238">
        <f>SUM(E12:P12)</f>
        <v>122933.12000000001</v>
      </c>
      <c r="R12" s="97"/>
    </row>
    <row r="13" spans="2:20" ht="20.25" customHeight="1">
      <c r="B13" s="96"/>
      <c r="C13" s="536"/>
      <c r="D13" s="89" t="s">
        <v>56</v>
      </c>
      <c r="E13" s="144">
        <f>IF(E11="","",E12/E11)</f>
        <v>0.3596758713136729</v>
      </c>
      <c r="F13" s="144">
        <f t="shared" ref="F13:P13" si="0">IF(F11="","",F12/F11)</f>
        <v>0.47338632707774803</v>
      </c>
      <c r="G13" s="144">
        <f t="shared" si="0"/>
        <v>0.54513243967828418</v>
      </c>
      <c r="H13" s="144">
        <f t="shared" si="0"/>
        <v>0.31219840925524223</v>
      </c>
      <c r="I13" s="144">
        <f t="shared" si="0"/>
        <v>0.18906839012925969</v>
      </c>
      <c r="J13" s="144">
        <f t="shared" si="0"/>
        <v>0.44684118811881191</v>
      </c>
      <c r="K13" s="144">
        <f t="shared" si="0"/>
        <v>0</v>
      </c>
      <c r="L13" s="144" t="str">
        <f t="shared" si="0"/>
        <v/>
      </c>
      <c r="M13" s="144" t="str">
        <f t="shared" si="0"/>
        <v/>
      </c>
      <c r="N13" s="144" t="str">
        <f t="shared" si="0"/>
        <v/>
      </c>
      <c r="O13" s="144" t="str">
        <f t="shared" si="0"/>
        <v/>
      </c>
      <c r="P13" s="144" t="str">
        <f t="shared" si="0"/>
        <v/>
      </c>
      <c r="Q13" s="146">
        <f>IF(Q11="","",Q12/Q11)</f>
        <v>0.29522843419788669</v>
      </c>
      <c r="R13" s="97"/>
    </row>
    <row r="14" spans="2:20" ht="20.25" customHeight="1">
      <c r="B14" s="96"/>
      <c r="C14" s="539"/>
      <c r="D14" s="104" t="s">
        <v>113</v>
      </c>
      <c r="E14" s="108">
        <f>IF(E12="","",E12/E7)</f>
        <v>3.3552851385006022E-2</v>
      </c>
      <c r="F14" s="108">
        <f t="shared" ref="F14:P14" si="1">IF(F12="","",F12/F7)</f>
        <v>4.397523463465234E-2</v>
      </c>
      <c r="G14" s="108">
        <f t="shared" si="1"/>
        <v>3.0502235219573161E-2</v>
      </c>
      <c r="H14" s="108">
        <f t="shared" si="1"/>
        <v>3.6515409045187512E-2</v>
      </c>
      <c r="I14" s="108">
        <f t="shared" si="1"/>
        <v>4.0725793346691824E-2</v>
      </c>
      <c r="J14" s="108">
        <f t="shared" si="1"/>
        <v>4.2109854201673486E-2</v>
      </c>
      <c r="K14" s="108" t="str">
        <f t="shared" si="1"/>
        <v/>
      </c>
      <c r="L14" s="108" t="str">
        <f t="shared" si="1"/>
        <v/>
      </c>
      <c r="M14" s="108" t="str">
        <f t="shared" si="1"/>
        <v/>
      </c>
      <c r="N14" s="108" t="str">
        <f t="shared" si="1"/>
        <v/>
      </c>
      <c r="O14" s="108" t="str">
        <f t="shared" si="1"/>
        <v/>
      </c>
      <c r="P14" s="108" t="str">
        <f t="shared" si="1"/>
        <v/>
      </c>
      <c r="Q14" s="109">
        <f t="shared" ref="Q14" si="2">SUM(E14:P14)</f>
        <v>0.22738137783278434</v>
      </c>
      <c r="R14" s="97"/>
    </row>
    <row r="15" spans="2:20" ht="20.25" customHeight="1">
      <c r="B15" s="96"/>
      <c r="C15" s="530" t="s">
        <v>19</v>
      </c>
      <c r="D15" s="125" t="s">
        <v>77</v>
      </c>
      <c r="E15" s="126">
        <v>220800</v>
      </c>
      <c r="F15" s="126">
        <v>220800</v>
      </c>
      <c r="G15" s="126">
        <v>220800</v>
      </c>
      <c r="H15" s="126">
        <v>269750</v>
      </c>
      <c r="I15" s="126">
        <v>327100</v>
      </c>
      <c r="J15" s="126">
        <v>328150</v>
      </c>
      <c r="K15" s="126">
        <v>369500</v>
      </c>
      <c r="L15" s="126"/>
      <c r="M15" s="126"/>
      <c r="N15" s="126"/>
      <c r="O15" s="126"/>
      <c r="P15" s="126"/>
      <c r="Q15" s="127">
        <f>SUM(E15:P15)</f>
        <v>1956900</v>
      </c>
      <c r="R15" s="97"/>
    </row>
    <row r="16" spans="2:20" ht="20.25" customHeight="1">
      <c r="B16" s="96"/>
      <c r="C16" s="531"/>
      <c r="D16" s="128" t="s">
        <v>47</v>
      </c>
      <c r="E16" s="129">
        <v>99559.96</v>
      </c>
      <c r="F16" s="129">
        <f>SUM(75713.31+59677.62+4405.25+7837.67+11785.36)</f>
        <v>159419.21000000002</v>
      </c>
      <c r="G16" s="129">
        <v>266441.51</v>
      </c>
      <c r="H16" s="129">
        <v>230083.54</v>
      </c>
      <c r="I16" s="129">
        <v>133304.93</v>
      </c>
      <c r="J16" s="129">
        <v>337002.5</v>
      </c>
      <c r="K16" s="129"/>
      <c r="L16" s="129"/>
      <c r="M16" s="129"/>
      <c r="N16" s="129"/>
      <c r="O16" s="129"/>
      <c r="P16" s="129"/>
      <c r="Q16" s="237">
        <f>SUM(E16:P16)</f>
        <v>1225811.6500000001</v>
      </c>
      <c r="R16" s="97"/>
    </row>
    <row r="17" spans="2:18" ht="20.25" customHeight="1">
      <c r="B17" s="96"/>
      <c r="C17" s="531"/>
      <c r="D17" s="87" t="s">
        <v>56</v>
      </c>
      <c r="E17" s="145">
        <f>IF(E15="","",E16/E15)</f>
        <v>0.45090561594202899</v>
      </c>
      <c r="F17" s="145">
        <f t="shared" ref="F17" si="3">IF(F15="","",F16/F15)</f>
        <v>0.72200729166666677</v>
      </c>
      <c r="G17" s="145">
        <f t="shared" ref="G17" si="4">IF(G15="","",G16/G15)</f>
        <v>1.2067097373188407</v>
      </c>
      <c r="H17" s="145">
        <f t="shared" ref="H17" si="5">IF(H15="","",H16/H15)</f>
        <v>0.85295102873030582</v>
      </c>
      <c r="I17" s="145">
        <f t="shared" ref="I17" si="6">IF(I15="","",I16/I15)</f>
        <v>0.40753570773463771</v>
      </c>
      <c r="J17" s="145">
        <f t="shared" ref="J17" si="7">IF(J15="","",J16/J15)</f>
        <v>1.0269769922291634</v>
      </c>
      <c r="K17" s="145">
        <f t="shared" ref="K17" si="8">IF(K15="","",K16/K15)</f>
        <v>0</v>
      </c>
      <c r="L17" s="145" t="str">
        <f t="shared" ref="L17" si="9">IF(L15="","",L16/L15)</f>
        <v/>
      </c>
      <c r="M17" s="145" t="str">
        <f t="shared" ref="M17" si="10">IF(M15="","",M16/M15)</f>
        <v/>
      </c>
      <c r="N17" s="145" t="str">
        <f t="shared" ref="N17" si="11">IF(N15="","",N16/N15)</f>
        <v/>
      </c>
      <c r="O17" s="145" t="str">
        <f t="shared" ref="O17" si="12">IF(O15="","",O16/O15)</f>
        <v/>
      </c>
      <c r="P17" s="145" t="str">
        <f t="shared" ref="P17" si="13">IF(P15="","",P16/P15)</f>
        <v/>
      </c>
      <c r="Q17" s="147">
        <f t="shared" ref="Q17" si="14">IF(Q15="","",Q16/Q15)</f>
        <v>0.62640484950687314</v>
      </c>
      <c r="R17" s="97"/>
    </row>
    <row r="18" spans="2:18" ht="20.25" customHeight="1">
      <c r="B18" s="96"/>
      <c r="C18" s="532"/>
      <c r="D18" s="88" t="s">
        <v>113</v>
      </c>
      <c r="E18" s="130">
        <f>IF(E16="","",E16/E7)</f>
        <v>0.24899694033257114</v>
      </c>
      <c r="F18" s="130">
        <f t="shared" ref="F18" si="15">IF(F16="","",F16/F7)</f>
        <v>0.39703087078501281</v>
      </c>
      <c r="G18" s="130">
        <f>IF(G16="","",G16/G7)</f>
        <v>0.39968945787226634</v>
      </c>
      <c r="H18" s="130">
        <f t="shared" ref="H18:P18" si="16">IF(H16="","",H16/H7)</f>
        <v>0.38916954833702183</v>
      </c>
      <c r="I18" s="130">
        <f t="shared" si="16"/>
        <v>0.33741724724079847</v>
      </c>
      <c r="J18" s="130">
        <f t="shared" si="16"/>
        <v>0.41925767856033402</v>
      </c>
      <c r="K18" s="130" t="str">
        <f t="shared" si="16"/>
        <v/>
      </c>
      <c r="L18" s="130" t="str">
        <f t="shared" si="16"/>
        <v/>
      </c>
      <c r="M18" s="130" t="str">
        <f t="shared" si="16"/>
        <v/>
      </c>
      <c r="N18" s="130" t="str">
        <f t="shared" si="16"/>
        <v/>
      </c>
      <c r="O18" s="130" t="str">
        <f t="shared" si="16"/>
        <v/>
      </c>
      <c r="P18" s="130" t="str">
        <f t="shared" si="16"/>
        <v/>
      </c>
      <c r="Q18" s="131">
        <f t="shared" ref="Q18" si="17">SUM(E18:P18)</f>
        <v>2.1915617431280046</v>
      </c>
      <c r="R18" s="97"/>
    </row>
    <row r="19" spans="2:18" ht="20.25" customHeight="1">
      <c r="B19" s="96"/>
      <c r="C19" s="538" t="s">
        <v>20</v>
      </c>
      <c r="D19" s="102" t="s">
        <v>77</v>
      </c>
      <c r="E19" s="103">
        <v>245300</v>
      </c>
      <c r="F19" s="103">
        <v>245300</v>
      </c>
      <c r="G19" s="103">
        <v>245300</v>
      </c>
      <c r="H19" s="103">
        <v>202550</v>
      </c>
      <c r="I19" s="103">
        <v>253100</v>
      </c>
      <c r="J19" s="103">
        <v>265100</v>
      </c>
      <c r="K19" s="103">
        <v>288700</v>
      </c>
      <c r="L19" s="103"/>
      <c r="M19" s="103"/>
      <c r="N19" s="103"/>
      <c r="O19" s="103"/>
      <c r="P19" s="103"/>
      <c r="Q19" s="107">
        <f t="shared" ref="Q19:Q20" si="18">SUM(E19:P19)</f>
        <v>1745350</v>
      </c>
      <c r="R19" s="97"/>
    </row>
    <row r="20" spans="2:18" ht="20.25" customHeight="1">
      <c r="B20" s="96"/>
      <c r="C20" s="536"/>
      <c r="D20" s="100" t="s">
        <v>47</v>
      </c>
      <c r="E20" s="101">
        <v>176162.33</v>
      </c>
      <c r="F20" s="101">
        <f>SUM(4728.05+121796.92+2942.03+1907.94+2912.52)</f>
        <v>134287.46</v>
      </c>
      <c r="G20" s="101">
        <v>206899.77</v>
      </c>
      <c r="H20" s="101">
        <v>201955.61</v>
      </c>
      <c r="I20" s="101">
        <v>130819.59</v>
      </c>
      <c r="J20" s="101">
        <v>228231.73</v>
      </c>
      <c r="K20" s="101"/>
      <c r="L20" s="101"/>
      <c r="M20" s="101"/>
      <c r="N20" s="101"/>
      <c r="O20" s="101"/>
      <c r="P20" s="101"/>
      <c r="Q20" s="238">
        <f t="shared" si="18"/>
        <v>1078356.49</v>
      </c>
      <c r="R20" s="97"/>
    </row>
    <row r="21" spans="2:18" ht="20.25" customHeight="1">
      <c r="B21" s="96"/>
      <c r="C21" s="536"/>
      <c r="D21" s="89" t="s">
        <v>56</v>
      </c>
      <c r="E21" s="144">
        <f>IF(E19="","",E20/E19)</f>
        <v>0.71815055034651443</v>
      </c>
      <c r="F21" s="144">
        <f t="shared" ref="F21" si="19">IF(F19="","",F20/F19)</f>
        <v>0.54744174480228291</v>
      </c>
      <c r="G21" s="144">
        <f t="shared" ref="G21" si="20">IF(G19="","",G20/G19)</f>
        <v>0.84345605381165911</v>
      </c>
      <c r="H21" s="144">
        <f t="shared" ref="H21" si="21">IF(H19="","",H20/H19)</f>
        <v>0.99706546531720552</v>
      </c>
      <c r="I21" s="144">
        <f t="shared" ref="I21" si="22">IF(I19="","",I20/I19)</f>
        <v>0.51686918214144606</v>
      </c>
      <c r="J21" s="144">
        <f t="shared" ref="J21" si="23">IF(J19="","",J20/J19)</f>
        <v>0.86092693323274239</v>
      </c>
      <c r="K21" s="144">
        <f t="shared" ref="K21" si="24">IF(K19="","",K20/K19)</f>
        <v>0</v>
      </c>
      <c r="L21" s="144" t="str">
        <f t="shared" ref="L21" si="25">IF(L19="","",L20/L19)</f>
        <v/>
      </c>
      <c r="M21" s="144" t="str">
        <f t="shared" ref="M21" si="26">IF(M19="","",M20/M19)</f>
        <v/>
      </c>
      <c r="N21" s="144" t="str">
        <f t="shared" ref="N21" si="27">IF(N19="","",N20/N19)</f>
        <v/>
      </c>
      <c r="O21" s="144" t="str">
        <f t="shared" ref="O21" si="28">IF(O19="","",O20/O19)</f>
        <v/>
      </c>
      <c r="P21" s="144" t="str">
        <f t="shared" ref="P21" si="29">IF(P19="","",P20/P19)</f>
        <v/>
      </c>
      <c r="Q21" s="146">
        <f t="shared" ref="Q21" si="30">IF(Q19="","",Q20/Q19)</f>
        <v>0.61784541209499522</v>
      </c>
      <c r="R21" s="97"/>
    </row>
    <row r="22" spans="2:18" ht="20.25" customHeight="1">
      <c r="B22" s="96"/>
      <c r="C22" s="539"/>
      <c r="D22" s="104" t="s">
        <v>113</v>
      </c>
      <c r="E22" s="108">
        <f>IF(E20="","",E20/E7)</f>
        <v>0.44057752907751974</v>
      </c>
      <c r="F22" s="108">
        <f t="shared" ref="F22:P22" si="31">IF(F20="","",F20/F7)</f>
        <v>0.33444066859513083</v>
      </c>
      <c r="G22" s="108">
        <f t="shared" si="31"/>
        <v>0.31037077107541006</v>
      </c>
      <c r="H22" s="108">
        <f t="shared" si="31"/>
        <v>0.34159320361564205</v>
      </c>
      <c r="I22" s="108">
        <f t="shared" si="31"/>
        <v>0.33112643278061721</v>
      </c>
      <c r="J22" s="108">
        <f t="shared" si="31"/>
        <v>0.28393826542417028</v>
      </c>
      <c r="K22" s="108" t="str">
        <f t="shared" si="31"/>
        <v/>
      </c>
      <c r="L22" s="108" t="str">
        <f t="shared" si="31"/>
        <v/>
      </c>
      <c r="M22" s="108" t="str">
        <f t="shared" si="31"/>
        <v/>
      </c>
      <c r="N22" s="108" t="str">
        <f t="shared" si="31"/>
        <v/>
      </c>
      <c r="O22" s="108" t="str">
        <f t="shared" si="31"/>
        <v/>
      </c>
      <c r="P22" s="108" t="str">
        <f t="shared" si="31"/>
        <v/>
      </c>
      <c r="Q22" s="109">
        <f t="shared" ref="Q22" si="32">SUM(E22:P22)</f>
        <v>2.0420468705684902</v>
      </c>
      <c r="R22" s="97"/>
    </row>
    <row r="23" spans="2:18" ht="20.25" customHeight="1">
      <c r="B23" s="96"/>
      <c r="C23" s="399" t="s">
        <v>21</v>
      </c>
      <c r="D23" s="125" t="s">
        <v>77</v>
      </c>
      <c r="E23" s="126">
        <v>90600</v>
      </c>
      <c r="F23" s="126">
        <v>90600</v>
      </c>
      <c r="G23" s="126">
        <v>90600</v>
      </c>
      <c r="H23" s="126">
        <v>76850</v>
      </c>
      <c r="I23" s="126">
        <v>96300</v>
      </c>
      <c r="J23" s="126">
        <v>107300</v>
      </c>
      <c r="K23" s="126">
        <v>126700</v>
      </c>
      <c r="L23" s="126"/>
      <c r="M23" s="126"/>
      <c r="N23" s="126"/>
      <c r="O23" s="126"/>
      <c r="P23" s="126"/>
      <c r="Q23" s="127">
        <f>SUM(E23:P23)</f>
        <v>678950</v>
      </c>
      <c r="R23" s="97"/>
    </row>
    <row r="24" spans="2:18" ht="20.25" customHeight="1">
      <c r="B24" s="96"/>
      <c r="C24" s="400"/>
      <c r="D24" s="128" t="s">
        <v>47</v>
      </c>
      <c r="E24" s="129">
        <v>78718.97</v>
      </c>
      <c r="F24" s="129">
        <f>SUM(8669.23+36622.42+4222.38+3133.32+3150.01)</f>
        <v>55797.359999999993</v>
      </c>
      <c r="G24" s="129">
        <v>133952.03</v>
      </c>
      <c r="H24" s="129">
        <v>107925.95</v>
      </c>
      <c r="I24" s="129">
        <v>79848.98</v>
      </c>
      <c r="J24" s="129">
        <v>159606.32</v>
      </c>
      <c r="K24" s="129"/>
      <c r="L24" s="129"/>
      <c r="M24" s="129"/>
      <c r="N24" s="129"/>
      <c r="O24" s="129"/>
      <c r="P24" s="129"/>
      <c r="Q24" s="237">
        <f>SUM(E24:P24)</f>
        <v>615849.61</v>
      </c>
      <c r="R24" s="97"/>
    </row>
    <row r="25" spans="2:18" ht="20.25" customHeight="1">
      <c r="B25" s="96"/>
      <c r="C25" s="400"/>
      <c r="D25" s="87" t="s">
        <v>56</v>
      </c>
      <c r="E25" s="145">
        <f>IF(E23="","",E24/E23)</f>
        <v>0.86886280353200884</v>
      </c>
      <c r="F25" s="145">
        <f t="shared" ref="F25" si="33">IF(F23="","",F24/F23)</f>
        <v>0.61586490066225164</v>
      </c>
      <c r="G25" s="145">
        <f t="shared" ref="G25" si="34">IF(G23="","",G24/G23)</f>
        <v>1.4784992273730684</v>
      </c>
      <c r="H25" s="145">
        <f t="shared" ref="H25" si="35">IF(H23="","",H24/H23)</f>
        <v>1.4043715029277815</v>
      </c>
      <c r="I25" s="145">
        <f t="shared" ref="I25" si="36">IF(I23="","",I24/I23)</f>
        <v>0.82916905503634475</v>
      </c>
      <c r="J25" s="145">
        <f t="shared" ref="J25" si="37">IF(J23="","",J24/J23)</f>
        <v>1.4874773532152843</v>
      </c>
      <c r="K25" s="145">
        <f t="shared" ref="K25" si="38">IF(K23="","",K24/K23)</f>
        <v>0</v>
      </c>
      <c r="L25" s="145" t="str">
        <f t="shared" ref="L25" si="39">IF(L23="","",L24/L23)</f>
        <v/>
      </c>
      <c r="M25" s="145" t="str">
        <f t="shared" ref="M25" si="40">IF(M23="","",M24/M23)</f>
        <v/>
      </c>
      <c r="N25" s="145" t="str">
        <f t="shared" ref="N25" si="41">IF(N23="","",N24/N23)</f>
        <v/>
      </c>
      <c r="O25" s="145" t="str">
        <f t="shared" ref="O25" si="42">IF(O23="","",O24/O23)</f>
        <v/>
      </c>
      <c r="P25" s="145" t="str">
        <f t="shared" ref="P25" si="43">IF(P23="","",P24/P23)</f>
        <v/>
      </c>
      <c r="Q25" s="147">
        <f t="shared" ref="Q25" si="44">IF(Q23="","",Q24/Q23)</f>
        <v>0.90706180131084757</v>
      </c>
      <c r="R25" s="97"/>
    </row>
    <row r="26" spans="2:18" ht="20.25" customHeight="1">
      <c r="B26" s="96"/>
      <c r="C26" s="401"/>
      <c r="D26" s="88" t="s">
        <v>113</v>
      </c>
      <c r="E26" s="130">
        <f>IF(E24="","",E24/E7)</f>
        <v>0.19687415177880199</v>
      </c>
      <c r="F26" s="130">
        <f t="shared" ref="F26:P26" si="45">IF(F24="","",F24/F7)</f>
        <v>0.13896238996733729</v>
      </c>
      <c r="G26" s="130">
        <f t="shared" si="45"/>
        <v>0.20094171606965278</v>
      </c>
      <c r="H26" s="130">
        <f t="shared" si="45"/>
        <v>0.18254888296374439</v>
      </c>
      <c r="I26" s="130">
        <f t="shared" si="45"/>
        <v>0.20211122744361795</v>
      </c>
      <c r="J26" s="130">
        <f t="shared" si="45"/>
        <v>0.19856284510280431</v>
      </c>
      <c r="K26" s="130" t="str">
        <f t="shared" si="45"/>
        <v/>
      </c>
      <c r="L26" s="130" t="str">
        <f t="shared" si="45"/>
        <v/>
      </c>
      <c r="M26" s="130" t="str">
        <f t="shared" si="45"/>
        <v/>
      </c>
      <c r="N26" s="130" t="str">
        <f t="shared" si="45"/>
        <v/>
      </c>
      <c r="O26" s="130" t="str">
        <f t="shared" si="45"/>
        <v/>
      </c>
      <c r="P26" s="130" t="str">
        <f t="shared" si="45"/>
        <v/>
      </c>
      <c r="Q26" s="131">
        <f t="shared" ref="Q26" si="46">SUM(E26:P26)</f>
        <v>1.1200012133259587</v>
      </c>
      <c r="R26" s="97"/>
    </row>
    <row r="27" spans="2:18" ht="20.25" customHeight="1">
      <c r="B27" s="96"/>
      <c r="C27" s="535" t="s">
        <v>23</v>
      </c>
      <c r="D27" s="102" t="s">
        <v>77</v>
      </c>
      <c r="E27" s="103">
        <v>10600</v>
      </c>
      <c r="F27" s="103">
        <v>10600</v>
      </c>
      <c r="G27" s="103">
        <v>10600</v>
      </c>
      <c r="H27" s="103">
        <v>23400</v>
      </c>
      <c r="I27" s="103">
        <v>27700</v>
      </c>
      <c r="J27" s="103">
        <v>28150</v>
      </c>
      <c r="K27" s="103">
        <v>27800</v>
      </c>
      <c r="L27" s="103"/>
      <c r="M27" s="103"/>
      <c r="N27" s="103"/>
      <c r="O27" s="103"/>
      <c r="P27" s="103"/>
      <c r="Q27" s="107">
        <f>SUM(E27:P27)</f>
        <v>138850</v>
      </c>
      <c r="R27" s="97"/>
    </row>
    <row r="28" spans="2:18" ht="20.25" customHeight="1">
      <c r="B28" s="96"/>
      <c r="C28" s="536"/>
      <c r="D28" s="100" t="s">
        <v>47</v>
      </c>
      <c r="E28" s="101">
        <v>19115.740000000002</v>
      </c>
      <c r="F28" s="101">
        <f>SUM(2044.13+11332.28+1128.44+672.2+386.49)</f>
        <v>15563.54</v>
      </c>
      <c r="G28" s="101">
        <v>32056.41</v>
      </c>
      <c r="H28" s="101">
        <v>20017.02</v>
      </c>
      <c r="I28" s="101">
        <v>26905.74</v>
      </c>
      <c r="J28" s="101">
        <v>30936.71</v>
      </c>
      <c r="K28" s="101"/>
      <c r="L28" s="101"/>
      <c r="M28" s="101"/>
      <c r="N28" s="101"/>
      <c r="O28" s="101"/>
      <c r="P28" s="101"/>
      <c r="Q28" s="238">
        <f>SUM(E28:P28)</f>
        <v>144595.16</v>
      </c>
      <c r="R28" s="97"/>
    </row>
    <row r="29" spans="2:18" ht="20.25" customHeight="1">
      <c r="B29" s="96"/>
      <c r="C29" s="536"/>
      <c r="D29" s="89" t="s">
        <v>56</v>
      </c>
      <c r="E29" s="144">
        <f>IF(E27="","",E28/E27)</f>
        <v>1.8033716981132077</v>
      </c>
      <c r="F29" s="144">
        <f t="shared" ref="F29" si="47">IF(F27="","",F28/F27)</f>
        <v>1.4682584905660379</v>
      </c>
      <c r="G29" s="144">
        <f t="shared" ref="G29" si="48">IF(G27="","",G28/G27)</f>
        <v>3.0241896226415093</v>
      </c>
      <c r="H29" s="144">
        <f t="shared" ref="H29" si="49">IF(H27="","",H28/H27)</f>
        <v>0.85542820512820517</v>
      </c>
      <c r="I29" s="144">
        <f t="shared" ref="I29" si="50">IF(I27="","",I28/I27)</f>
        <v>0.97132635379061383</v>
      </c>
      <c r="J29" s="144">
        <f t="shared" ref="J29" si="51">IF(J27="","",J28/J27)</f>
        <v>1.098995026642984</v>
      </c>
      <c r="K29" s="144">
        <f t="shared" ref="K29" si="52">IF(K27="","",K28/K27)</f>
        <v>0</v>
      </c>
      <c r="L29" s="144" t="str">
        <f t="shared" ref="L29" si="53">IF(L27="","",L28/L27)</f>
        <v/>
      </c>
      <c r="M29" s="144" t="str">
        <f t="shared" ref="M29" si="54">IF(M27="","",M28/M27)</f>
        <v/>
      </c>
      <c r="N29" s="144" t="str">
        <f t="shared" ref="N29" si="55">IF(N27="","",N28/N27)</f>
        <v/>
      </c>
      <c r="O29" s="144" t="str">
        <f t="shared" ref="O29" si="56">IF(O27="","",O28/O27)</f>
        <v/>
      </c>
      <c r="P29" s="144" t="str">
        <f t="shared" ref="P29" si="57">IF(P27="","",P28/P27)</f>
        <v/>
      </c>
      <c r="Q29" s="146">
        <f t="shared" ref="Q29" si="58">IF(Q27="","",Q28/Q27)</f>
        <v>1.0413767374864962</v>
      </c>
      <c r="R29" s="97"/>
    </row>
    <row r="30" spans="2:18" ht="20.25" customHeight="1">
      <c r="B30" s="96"/>
      <c r="C30" s="537"/>
      <c r="D30" s="104" t="s">
        <v>113</v>
      </c>
      <c r="E30" s="108">
        <f>IF(E28="","",E28/E7)</f>
        <v>4.7807981965771615E-2</v>
      </c>
      <c r="F30" s="108">
        <f t="shared" ref="F30:P30" si="59">IF(F28="","",F28/F7)</f>
        <v>3.8760735539320378E-2</v>
      </c>
      <c r="G30" s="108">
        <f t="shared" si="59"/>
        <v>4.8087886659368868E-2</v>
      </c>
      <c r="H30" s="108">
        <f t="shared" si="59"/>
        <v>3.385733126521407E-2</v>
      </c>
      <c r="I30" s="108">
        <f t="shared" si="59"/>
        <v>6.8102963077034298E-2</v>
      </c>
      <c r="J30" s="108">
        <f t="shared" si="59"/>
        <v>3.8487706224417537E-2</v>
      </c>
      <c r="K30" s="108" t="str">
        <f t="shared" si="59"/>
        <v/>
      </c>
      <c r="L30" s="108" t="str">
        <f t="shared" si="59"/>
        <v/>
      </c>
      <c r="M30" s="108" t="str">
        <f t="shared" si="59"/>
        <v/>
      </c>
      <c r="N30" s="108" t="str">
        <f t="shared" si="59"/>
        <v/>
      </c>
      <c r="O30" s="108" t="str">
        <f t="shared" si="59"/>
        <v/>
      </c>
      <c r="P30" s="108" t="str">
        <f t="shared" si="59"/>
        <v/>
      </c>
      <c r="Q30" s="109">
        <f t="shared" ref="Q30" si="60">SUM(E30:P30)</f>
        <v>0.27510460473112675</v>
      </c>
      <c r="R30" s="97"/>
    </row>
    <row r="31" spans="2:18" ht="20.25" customHeight="1">
      <c r="B31" s="96"/>
      <c r="C31" s="533" t="s">
        <v>22</v>
      </c>
      <c r="D31" s="125" t="s">
        <v>77</v>
      </c>
      <c r="E31" s="126">
        <v>3200</v>
      </c>
      <c r="F31" s="126">
        <v>3200</v>
      </c>
      <c r="G31" s="126">
        <v>3200</v>
      </c>
      <c r="H31" s="126">
        <v>8300</v>
      </c>
      <c r="I31" s="126">
        <v>10700</v>
      </c>
      <c r="J31" s="126">
        <v>10550</v>
      </c>
      <c r="K31" s="126">
        <v>12800</v>
      </c>
      <c r="L31" s="126"/>
      <c r="M31" s="126"/>
      <c r="N31" s="126"/>
      <c r="O31" s="126"/>
      <c r="P31" s="126"/>
      <c r="Q31" s="127">
        <f>SUM(E31:P31)</f>
        <v>51950</v>
      </c>
      <c r="R31" s="97"/>
    </row>
    <row r="32" spans="2:18" ht="20.25" customHeight="1">
      <c r="B32" s="96"/>
      <c r="C32" s="531"/>
      <c r="D32" s="128" t="s">
        <v>47</v>
      </c>
      <c r="E32" s="129">
        <v>5250.24</v>
      </c>
      <c r="F32" s="129">
        <f>SUM(2101.52+514.8+391.56+1020.96+1029.44)</f>
        <v>5058.28</v>
      </c>
      <c r="G32" s="129">
        <v>12754.32</v>
      </c>
      <c r="H32" s="129">
        <v>4251.18</v>
      </c>
      <c r="I32" s="129">
        <v>4887.4799999999996</v>
      </c>
      <c r="J32" s="129">
        <v>7325.91</v>
      </c>
      <c r="K32" s="129"/>
      <c r="L32" s="129"/>
      <c r="M32" s="129"/>
      <c r="N32" s="129"/>
      <c r="O32" s="129"/>
      <c r="P32" s="129"/>
      <c r="Q32" s="237">
        <f>SUM(E32:P32)</f>
        <v>39527.410000000003</v>
      </c>
      <c r="R32" s="97"/>
    </row>
    <row r="33" spans="2:18" ht="20.25" customHeight="1">
      <c r="B33" s="96"/>
      <c r="C33" s="531"/>
      <c r="D33" s="87" t="s">
        <v>56</v>
      </c>
      <c r="E33" s="145">
        <f>IF(E31="","",E32/E31)</f>
        <v>1.6406999999999998</v>
      </c>
      <c r="F33" s="145">
        <f t="shared" ref="F33" si="61">IF(F31="","",F32/F31)</f>
        <v>1.5807125</v>
      </c>
      <c r="G33" s="145">
        <f t="shared" ref="G33" si="62">IF(G31="","",G32/G31)</f>
        <v>3.985725</v>
      </c>
      <c r="H33" s="145">
        <f t="shared" ref="H33" si="63">IF(H31="","",H32/H31)</f>
        <v>0.51219036144578312</v>
      </c>
      <c r="I33" s="145">
        <f t="shared" ref="I33" si="64">IF(I31="","",I32/I31)</f>
        <v>0.45677383177570091</v>
      </c>
      <c r="J33" s="145">
        <f t="shared" ref="J33" si="65">IF(J31="","",J32/J31)</f>
        <v>0.69439905213270137</v>
      </c>
      <c r="K33" s="145">
        <f t="shared" ref="K33" si="66">IF(K31="","",K32/K31)</f>
        <v>0</v>
      </c>
      <c r="L33" s="145" t="str">
        <f t="shared" ref="L33" si="67">IF(L31="","",L32/L31)</f>
        <v/>
      </c>
      <c r="M33" s="145" t="str">
        <f t="shared" ref="M33" si="68">IF(M31="","",M32/M31)</f>
        <v/>
      </c>
      <c r="N33" s="145" t="str">
        <f t="shared" ref="N33" si="69">IF(N31="","",N32/N31)</f>
        <v/>
      </c>
      <c r="O33" s="145" t="str">
        <f t="shared" ref="O33" si="70">IF(O31="","",O32/O31)</f>
        <v/>
      </c>
      <c r="P33" s="145" t="str">
        <f t="shared" ref="P33" si="71">IF(P31="","",P32/P31)</f>
        <v/>
      </c>
      <c r="Q33" s="147">
        <f t="shared" ref="Q33" si="72">IF(Q31="","",Q32/Q31)</f>
        <v>0.76087410972088554</v>
      </c>
      <c r="R33" s="97"/>
    </row>
    <row r="34" spans="2:18" ht="20.25" customHeight="1">
      <c r="B34" s="96"/>
      <c r="C34" s="534"/>
      <c r="D34" s="148" t="s">
        <v>113</v>
      </c>
      <c r="E34" s="149">
        <f>IF(E32="","",E32/E7)</f>
        <v>1.3130717368826567E-2</v>
      </c>
      <c r="F34" s="149">
        <f t="shared" ref="F34:P34" si="73">IF(F32="","",F32/F7)</f>
        <v>1.2597561567858819E-2</v>
      </c>
      <c r="G34" s="149">
        <f t="shared" si="73"/>
        <v>1.9132781698802875E-2</v>
      </c>
      <c r="H34" s="149">
        <f t="shared" si="73"/>
        <v>7.1905613087289103E-3</v>
      </c>
      <c r="I34" s="149">
        <f t="shared" si="73"/>
        <v>1.2371035696462671E-2</v>
      </c>
      <c r="J34" s="149">
        <f t="shared" si="73"/>
        <v>9.1140095991630223E-3</v>
      </c>
      <c r="K34" s="149" t="str">
        <f t="shared" si="73"/>
        <v/>
      </c>
      <c r="L34" s="149" t="str">
        <f t="shared" si="73"/>
        <v/>
      </c>
      <c r="M34" s="149" t="str">
        <f t="shared" si="73"/>
        <v/>
      </c>
      <c r="N34" s="149" t="str">
        <f t="shared" si="73"/>
        <v/>
      </c>
      <c r="O34" s="149" t="str">
        <f t="shared" si="73"/>
        <v/>
      </c>
      <c r="P34" s="149" t="str">
        <f t="shared" si="73"/>
        <v/>
      </c>
      <c r="Q34" s="150">
        <f t="shared" ref="Q34" si="74">SUM(E34:P34)</f>
        <v>7.3536667239842854E-2</v>
      </c>
      <c r="R34" s="97"/>
    </row>
    <row r="35" spans="2:18" ht="9.75" customHeight="1">
      <c r="B35" s="98"/>
      <c r="C35" s="586"/>
      <c r="D35" s="587"/>
      <c r="E35" s="587"/>
      <c r="F35" s="587"/>
      <c r="G35" s="587"/>
      <c r="H35" s="587"/>
      <c r="I35" s="587"/>
      <c r="J35" s="587"/>
      <c r="K35" s="587"/>
      <c r="L35" s="587"/>
      <c r="M35" s="587"/>
      <c r="N35" s="587"/>
      <c r="O35" s="587"/>
      <c r="P35" s="587"/>
      <c r="Q35" s="587"/>
      <c r="R35" s="99"/>
    </row>
    <row r="36" spans="2:18" ht="9.75" customHeight="1"/>
  </sheetData>
  <mergeCells count="15">
    <mergeCell ref="C3:Q3"/>
    <mergeCell ref="C4:Q4"/>
    <mergeCell ref="C8:Q8"/>
    <mergeCell ref="C9:Q9"/>
    <mergeCell ref="C7:D7"/>
    <mergeCell ref="C6:D6"/>
    <mergeCell ref="C5:Q5"/>
    <mergeCell ref="C15:C18"/>
    <mergeCell ref="C35:Q35"/>
    <mergeCell ref="C10:D10"/>
    <mergeCell ref="C31:C34"/>
    <mergeCell ref="C27:C30"/>
    <mergeCell ref="C19:C22"/>
    <mergeCell ref="C23:C26"/>
    <mergeCell ref="C11:C14"/>
  </mergeCells>
  <conditionalFormatting sqref="E13:Q13 E17:Q17 E21:Q21 E25:Q25 E29:Q29 E33:Q33">
    <cfRule type="cellIs" dxfId="34" priority="2" operator="between">
      <formula>76%</formula>
      <formula>95%</formula>
    </cfRule>
    <cfRule type="cellIs" dxfId="33" priority="3" operator="lessThan">
      <formula>75%</formula>
    </cfRule>
  </conditionalFormatting>
  <pageMargins left="0.511811024" right="0.511811024" top="0.78740157499999996" bottom="0.78740157499999996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B460-3186-4B49-9B9D-121332E94F49}">
  <sheetPr>
    <tabColor theme="7"/>
    <outlinePr summaryBelow="0" summaryRight="0"/>
  </sheetPr>
  <dimension ref="B1:R89"/>
  <sheetViews>
    <sheetView showGridLines="0" tabSelected="1" topLeftCell="A46" zoomScale="70" zoomScaleNormal="70" workbookViewId="0">
      <selection activeCell="K83" sqref="K83"/>
    </sheetView>
  </sheetViews>
  <sheetFormatPr defaultColWidth="14.42578125" defaultRowHeight="15" customHeight="1"/>
  <cols>
    <col min="1" max="2" width="1.7109375" customWidth="1"/>
    <col min="4" max="4" width="26" customWidth="1"/>
    <col min="5" max="8" width="15.7109375" bestFit="1" customWidth="1"/>
    <col min="9" max="9" width="17.7109375" customWidth="1"/>
    <col min="10" max="11" width="15.7109375" bestFit="1" customWidth="1"/>
    <col min="17" max="17" width="19.5703125" customWidth="1"/>
    <col min="18" max="19" width="1.7109375" customWidth="1"/>
  </cols>
  <sheetData>
    <row r="1" spans="2:18" ht="9.75" customHeight="1"/>
    <row r="2" spans="2:18" ht="9.75" customHeight="1">
      <c r="B2" s="93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5"/>
    </row>
    <row r="3" spans="2:18" ht="45" customHeight="1">
      <c r="B3" s="96"/>
      <c r="C3" s="416" t="s">
        <v>95</v>
      </c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97"/>
    </row>
    <row r="4" spans="2:18" ht="20.25" customHeight="1">
      <c r="B4" s="96"/>
      <c r="C4" s="583"/>
      <c r="D4" s="584"/>
      <c r="E4" s="584"/>
      <c r="F4" s="584"/>
      <c r="G4" s="584"/>
      <c r="H4" s="584"/>
      <c r="I4" s="584"/>
      <c r="J4" s="584"/>
      <c r="K4" s="584"/>
      <c r="L4" s="584"/>
      <c r="M4" s="584"/>
      <c r="N4" s="584"/>
      <c r="O4" s="584"/>
      <c r="P4" s="584"/>
      <c r="Q4" s="584"/>
      <c r="R4" s="97"/>
    </row>
    <row r="5" spans="2:18" ht="39.75" customHeight="1">
      <c r="B5" s="96"/>
      <c r="C5" s="422" t="s">
        <v>96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4"/>
      <c r="R5" s="97"/>
    </row>
    <row r="6" spans="2:18" ht="20.25" customHeight="1">
      <c r="B6" s="96"/>
      <c r="C6" s="408" t="s">
        <v>97</v>
      </c>
      <c r="D6" s="409"/>
      <c r="E6" s="84" t="s">
        <v>98</v>
      </c>
      <c r="F6" s="83" t="s">
        <v>99</v>
      </c>
      <c r="G6" s="83" t="s">
        <v>100</v>
      </c>
      <c r="H6" s="83" t="s">
        <v>101</v>
      </c>
      <c r="I6" s="83" t="s">
        <v>102</v>
      </c>
      <c r="J6" s="83" t="s">
        <v>103</v>
      </c>
      <c r="K6" s="83" t="s">
        <v>104</v>
      </c>
      <c r="L6" s="83" t="s">
        <v>105</v>
      </c>
      <c r="M6" s="83" t="s">
        <v>106</v>
      </c>
      <c r="N6" s="83" t="s">
        <v>107</v>
      </c>
      <c r="O6" s="83" t="s">
        <v>108</v>
      </c>
      <c r="P6" s="83" t="s">
        <v>109</v>
      </c>
      <c r="Q6" s="90" t="s">
        <v>110</v>
      </c>
      <c r="R6" s="97"/>
    </row>
    <row r="7" spans="2:18" ht="20.25" customHeight="1">
      <c r="B7" s="96"/>
      <c r="C7" s="410" t="s">
        <v>5</v>
      </c>
      <c r="D7" s="411"/>
      <c r="E7" s="218">
        <f>'Meta x Real de Vendas  FARDIN'!R7</f>
        <v>399844.11</v>
      </c>
      <c r="F7" s="218">
        <f>'Meta x Real de Vendas  FARDIN'!R8</f>
        <v>401528.5</v>
      </c>
      <c r="G7" s="218">
        <f>'Meta x Real de Vendas  FARDIN'!R9</f>
        <v>666621.31000000006</v>
      </c>
      <c r="H7" s="218">
        <f>'Meta x Real de Vendas  FARDIN'!R10</f>
        <v>591216.71</v>
      </c>
      <c r="I7" s="218">
        <f>'Meta x Real de Vendas  FARDIN'!R11</f>
        <v>395074.44</v>
      </c>
      <c r="J7" s="218">
        <f>'Meta x Real de Vendas  FARDIN'!R12</f>
        <v>803807.58000000007</v>
      </c>
      <c r="K7" s="218">
        <f>'Meta x Real de Vendas  Global'!E13</f>
        <v>0</v>
      </c>
      <c r="L7" s="218">
        <f>'Meta x Real de Vendas  Global'!E14</f>
        <v>0</v>
      </c>
      <c r="M7" s="218">
        <f>'Meta x Real de Vendas  Global'!E15</f>
        <v>0</v>
      </c>
      <c r="N7" s="218">
        <f>'Meta x Real de Vendas  Global'!E16</f>
        <v>0</v>
      </c>
      <c r="O7" s="218">
        <f>'Meta x Real de Vendas  Global'!E17</f>
        <v>0</v>
      </c>
      <c r="P7" s="218">
        <f>'Meta x Real de Vendas  Global'!E18</f>
        <v>0</v>
      </c>
      <c r="Q7" s="219">
        <f>SUM(E7:P7)</f>
        <v>3258092.65</v>
      </c>
      <c r="R7" s="97"/>
    </row>
    <row r="8" spans="2:18" ht="20.25" customHeight="1">
      <c r="B8" s="96"/>
      <c r="C8" s="403" t="s">
        <v>114</v>
      </c>
      <c r="D8" s="418"/>
      <c r="E8" s="222">
        <v>195</v>
      </c>
      <c r="F8" s="222">
        <v>166</v>
      </c>
      <c r="G8" s="222">
        <v>227</v>
      </c>
      <c r="H8" s="222">
        <v>205</v>
      </c>
      <c r="I8" s="222">
        <v>194</v>
      </c>
      <c r="J8" s="222">
        <f>SUM(J21+J30+J39+J45+J51+J57+J66+J72+J78+J87)</f>
        <v>262</v>
      </c>
      <c r="K8" s="222"/>
      <c r="L8" s="222"/>
      <c r="M8" s="222"/>
      <c r="N8" s="222"/>
      <c r="O8" s="222"/>
      <c r="P8" s="222"/>
      <c r="Q8" s="223">
        <f>SUM(E8:P8)</f>
        <v>1249</v>
      </c>
      <c r="R8" s="97"/>
    </row>
    <row r="9" spans="2:18" ht="20.25" customHeight="1">
      <c r="B9" s="96"/>
      <c r="C9" s="406" t="s">
        <v>115</v>
      </c>
      <c r="D9" s="421"/>
      <c r="E9" s="220">
        <f>IF(E7=0,"",E7/E8)</f>
        <v>2050.4826153846152</v>
      </c>
      <c r="F9" s="220">
        <f t="shared" ref="F9:O9" si="0">IF(F7=0,"",F7/F8)</f>
        <v>2418.8463855421687</v>
      </c>
      <c r="G9" s="220">
        <f>IF(G7=0,"",G7/G8)</f>
        <v>2936.6577533039649</v>
      </c>
      <c r="H9" s="220">
        <f t="shared" si="0"/>
        <v>2883.9839512195122</v>
      </c>
      <c r="I9" s="220">
        <f t="shared" si="0"/>
        <v>2036.4661855670104</v>
      </c>
      <c r="J9" s="220">
        <f t="shared" si="0"/>
        <v>3067.9678625954202</v>
      </c>
      <c r="K9" s="220" t="str">
        <f t="shared" si="0"/>
        <v/>
      </c>
      <c r="L9" s="220" t="str">
        <f t="shared" si="0"/>
        <v/>
      </c>
      <c r="M9" s="220" t="str">
        <f t="shared" si="0"/>
        <v/>
      </c>
      <c r="N9" s="220" t="str">
        <f t="shared" si="0"/>
        <v/>
      </c>
      <c r="O9" s="220" t="str">
        <f t="shared" si="0"/>
        <v/>
      </c>
      <c r="P9" s="220" t="str">
        <f>IF(P7=0,"",P7/P8)</f>
        <v/>
      </c>
      <c r="Q9" s="221">
        <f>IF(Q7=0,"",Q7/Q8)</f>
        <v>2608.5609687750198</v>
      </c>
      <c r="R9" s="97"/>
    </row>
    <row r="10" spans="2:18" ht="20.25" customHeight="1">
      <c r="B10" s="96"/>
      <c r="C10" s="403" t="s">
        <v>116</v>
      </c>
      <c r="D10" s="418"/>
      <c r="E10" s="222">
        <v>376</v>
      </c>
      <c r="F10" s="222">
        <v>391</v>
      </c>
      <c r="G10" s="222">
        <v>529</v>
      </c>
      <c r="H10" s="222">
        <v>537</v>
      </c>
      <c r="I10" s="222">
        <f>106+265+8+113+54+3</f>
        <v>549</v>
      </c>
      <c r="J10" s="222">
        <f>SUM(J20+J29+J38+J44+J50+J56+J65+J71+J77+J86)</f>
        <v>572</v>
      </c>
      <c r="K10" s="222"/>
      <c r="L10" s="222"/>
      <c r="M10" s="222"/>
      <c r="N10" s="222"/>
      <c r="O10" s="222"/>
      <c r="P10" s="222"/>
      <c r="Q10" s="223">
        <f>AVERAGE(E10:P10)</f>
        <v>492.33333333333331</v>
      </c>
      <c r="R10" s="97"/>
    </row>
    <row r="11" spans="2:18" ht="20.25" customHeight="1">
      <c r="B11" s="96"/>
      <c r="C11" s="403" t="s">
        <v>117</v>
      </c>
      <c r="D11" s="418"/>
      <c r="E11" s="222">
        <v>158</v>
      </c>
      <c r="F11" s="222">
        <v>142</v>
      </c>
      <c r="G11" s="222">
        <v>196</v>
      </c>
      <c r="H11" s="222">
        <v>175</v>
      </c>
      <c r="I11" s="222">
        <f>24+108+3+24+8+2</f>
        <v>169</v>
      </c>
      <c r="J11" s="222">
        <f>26+122+11+47+13+3+1</f>
        <v>223</v>
      </c>
      <c r="K11" s="222"/>
      <c r="L11" s="222"/>
      <c r="M11" s="222"/>
      <c r="N11" s="222"/>
      <c r="O11" s="222"/>
      <c r="P11" s="222"/>
      <c r="Q11" s="223">
        <f>AVERAGE(E11:P11)</f>
        <v>177.16666666666666</v>
      </c>
      <c r="R11" s="97"/>
    </row>
    <row r="12" spans="2:18" ht="20.25" customHeight="1">
      <c r="B12" s="96"/>
      <c r="C12" s="426" t="s">
        <v>118</v>
      </c>
      <c r="D12" s="427"/>
      <c r="E12" s="91">
        <f>IF(E10="","",E11/E10)</f>
        <v>0.42021276595744683</v>
      </c>
      <c r="F12" s="91">
        <f t="shared" ref="F12:P12" si="1">IF(F10="","",F11/F10)</f>
        <v>0.3631713554987212</v>
      </c>
      <c r="G12" s="91">
        <f t="shared" si="1"/>
        <v>0.37051039697542532</v>
      </c>
      <c r="H12" s="91">
        <f t="shared" si="1"/>
        <v>0.32588454376163872</v>
      </c>
      <c r="I12" s="91">
        <f t="shared" si="1"/>
        <v>0.30783242258652094</v>
      </c>
      <c r="J12" s="91">
        <f t="shared" si="1"/>
        <v>0.38986013986013984</v>
      </c>
      <c r="K12" s="91" t="str">
        <f t="shared" si="1"/>
        <v/>
      </c>
      <c r="L12" s="91" t="str">
        <f t="shared" si="1"/>
        <v/>
      </c>
      <c r="M12" s="91" t="str">
        <f t="shared" si="1"/>
        <v/>
      </c>
      <c r="N12" s="91" t="str">
        <f t="shared" si="1"/>
        <v/>
      </c>
      <c r="O12" s="91" t="str">
        <f t="shared" si="1"/>
        <v/>
      </c>
      <c r="P12" s="91" t="str">
        <f t="shared" si="1"/>
        <v/>
      </c>
      <c r="Q12" s="92">
        <f>IF(Q10="","",Q11/Q10)</f>
        <v>0.35985104942450913</v>
      </c>
      <c r="R12" s="97"/>
    </row>
    <row r="13" spans="2:18" ht="20.25" customHeight="1">
      <c r="B13" s="96"/>
      <c r="C13" s="585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588"/>
      <c r="O13" s="588"/>
      <c r="P13" s="588"/>
      <c r="Q13" s="588"/>
      <c r="R13" s="97"/>
    </row>
    <row r="14" spans="2:18" ht="39.75" customHeight="1">
      <c r="B14" s="96"/>
      <c r="C14" s="422" t="s">
        <v>119</v>
      </c>
      <c r="D14" s="423"/>
      <c r="E14" s="423"/>
      <c r="F14" s="423"/>
      <c r="G14" s="423"/>
      <c r="H14" s="423"/>
      <c r="I14" s="423"/>
      <c r="J14" s="423"/>
      <c r="K14" s="423"/>
      <c r="L14" s="423"/>
      <c r="M14" s="423"/>
      <c r="N14" s="423"/>
      <c r="O14" s="423"/>
      <c r="P14" s="423"/>
      <c r="Q14" s="424"/>
      <c r="R14" s="97"/>
    </row>
    <row r="15" spans="2:18" s="1" customFormat="1" ht="20.25" customHeight="1">
      <c r="B15" s="138"/>
      <c r="C15" s="412" t="s">
        <v>112</v>
      </c>
      <c r="D15" s="425"/>
      <c r="E15" s="116" t="s">
        <v>98</v>
      </c>
      <c r="F15" s="116" t="s">
        <v>99</v>
      </c>
      <c r="G15" s="116" t="s">
        <v>100</v>
      </c>
      <c r="H15" s="116" t="s">
        <v>101</v>
      </c>
      <c r="I15" s="116" t="s">
        <v>102</v>
      </c>
      <c r="J15" s="116" t="s">
        <v>103</v>
      </c>
      <c r="K15" s="116" t="s">
        <v>104</v>
      </c>
      <c r="L15" s="116" t="s">
        <v>105</v>
      </c>
      <c r="M15" s="116" t="s">
        <v>106</v>
      </c>
      <c r="N15" s="116" t="s">
        <v>107</v>
      </c>
      <c r="O15" s="116" t="s">
        <v>108</v>
      </c>
      <c r="P15" s="116" t="s">
        <v>109</v>
      </c>
      <c r="Q15" s="117" t="s">
        <v>110</v>
      </c>
      <c r="R15" s="139"/>
    </row>
    <row r="16" spans="2:18" s="1" customFormat="1" ht="20.25" customHeight="1">
      <c r="B16" s="138"/>
      <c r="C16" s="412" t="s">
        <v>10</v>
      </c>
      <c r="D16" s="110" t="s">
        <v>120</v>
      </c>
      <c r="E16" s="140">
        <v>115000</v>
      </c>
      <c r="F16" s="140">
        <v>120000</v>
      </c>
      <c r="G16" s="140">
        <v>120000</v>
      </c>
      <c r="H16" s="140">
        <v>175000</v>
      </c>
      <c r="I16" s="140">
        <v>185000</v>
      </c>
      <c r="J16" s="140">
        <v>180000</v>
      </c>
      <c r="K16" s="140">
        <v>170000</v>
      </c>
      <c r="L16" s="140"/>
      <c r="M16" s="140"/>
      <c r="N16" s="140"/>
      <c r="O16" s="140"/>
      <c r="P16" s="140"/>
      <c r="Q16" s="141">
        <f>SUM(E16:P16)</f>
        <v>1065000</v>
      </c>
      <c r="R16" s="139"/>
    </row>
    <row r="17" spans="2:18" s="1" customFormat="1" ht="20.25" customHeight="1">
      <c r="B17" s="138"/>
      <c r="C17" s="413"/>
      <c r="D17" s="85" t="s">
        <v>121</v>
      </c>
      <c r="E17" s="112">
        <v>71066.97</v>
      </c>
      <c r="F17" s="112">
        <v>137152.82</v>
      </c>
      <c r="G17" s="112">
        <v>198397.41</v>
      </c>
      <c r="H17" s="112">
        <v>169011.6</v>
      </c>
      <c r="I17" s="112">
        <v>80664.86</v>
      </c>
      <c r="J17" s="112">
        <v>173814.86</v>
      </c>
      <c r="K17" s="112"/>
      <c r="L17" s="112"/>
      <c r="M17" s="112"/>
      <c r="N17" s="112"/>
      <c r="O17" s="112"/>
      <c r="P17" s="112"/>
      <c r="Q17" s="118">
        <f>SUM(E17:P17)</f>
        <v>830108.52</v>
      </c>
      <c r="R17" s="139"/>
    </row>
    <row r="18" spans="2:18" s="1" customFormat="1" ht="20.25" customHeight="1">
      <c r="B18" s="138"/>
      <c r="C18" s="413"/>
      <c r="D18" s="89" t="s">
        <v>122</v>
      </c>
      <c r="E18" s="111">
        <f>IF(E16=0,"",E17/E16)</f>
        <v>0.61797365217391309</v>
      </c>
      <c r="F18" s="111">
        <f t="shared" ref="F18" si="2">IF(F16=0,"",F17/F16)</f>
        <v>1.1429401666666668</v>
      </c>
      <c r="G18" s="111">
        <f t="shared" ref="G18" si="3">IF(G16=0,"",G17/G16)</f>
        <v>1.6533117500000001</v>
      </c>
      <c r="H18" s="111">
        <f t="shared" ref="H18" si="4">IF(H16=0,"",H17/H16)</f>
        <v>0.96578057142857143</v>
      </c>
      <c r="I18" s="111">
        <f t="shared" ref="I18" si="5">IF(I16=0,"",I17/I16)</f>
        <v>0.4360262702702703</v>
      </c>
      <c r="J18" s="111">
        <f t="shared" ref="J18" si="6">IF(J16=0,"",J17/J16)</f>
        <v>0.96563811111111109</v>
      </c>
      <c r="K18" s="111">
        <f t="shared" ref="K18" si="7">IF(K16=0,"",K17/K16)</f>
        <v>0</v>
      </c>
      <c r="L18" s="111" t="str">
        <f t="shared" ref="L18" si="8">IF(L16=0,"",L17/L16)</f>
        <v/>
      </c>
      <c r="M18" s="111" t="str">
        <f t="shared" ref="M18" si="9">IF(M16=0,"",M17/M16)</f>
        <v/>
      </c>
      <c r="N18" s="111" t="str">
        <f t="shared" ref="N18" si="10">IF(N16=0,"",N17/N16)</f>
        <v/>
      </c>
      <c r="O18" s="111" t="str">
        <f t="shared" ref="O18" si="11">IF(O16=0,"",O17/O16)</f>
        <v/>
      </c>
      <c r="P18" s="111" t="str">
        <f t="shared" ref="P18" si="12">IF(P16=0,"",P17/P16)</f>
        <v/>
      </c>
      <c r="Q18" s="119">
        <f>IF(Q16=0,"",Q17/Q16)</f>
        <v>0.77944461971830992</v>
      </c>
      <c r="R18" s="139"/>
    </row>
    <row r="19" spans="2:18" s="1" customFormat="1" ht="20.25" customHeight="1">
      <c r="B19" s="138"/>
      <c r="C19" s="413"/>
      <c r="D19" s="85" t="s">
        <v>123</v>
      </c>
      <c r="E19" s="112">
        <v>51609.93</v>
      </c>
      <c r="F19" s="112">
        <v>108390.94</v>
      </c>
      <c r="G19" s="112">
        <v>167634.25</v>
      </c>
      <c r="H19" s="112">
        <v>113846.33</v>
      </c>
      <c r="I19" s="112">
        <v>100565.47</v>
      </c>
      <c r="J19" s="112">
        <v>139358.72</v>
      </c>
      <c r="K19" s="112"/>
      <c r="L19" s="112"/>
      <c r="M19" s="112"/>
      <c r="N19" s="112"/>
      <c r="O19" s="112"/>
      <c r="P19" s="112"/>
      <c r="Q19" s="118">
        <f t="shared" ref="Q19:Q23" si="13">SUM(E19:P19)</f>
        <v>681405.64</v>
      </c>
      <c r="R19" s="139"/>
    </row>
    <row r="20" spans="2:18" s="1" customFormat="1" ht="20.25" customHeight="1">
      <c r="B20" s="138"/>
      <c r="C20" s="413"/>
      <c r="D20" s="85" t="s">
        <v>124</v>
      </c>
      <c r="E20" s="390">
        <v>75</v>
      </c>
      <c r="F20" s="363">
        <v>75</v>
      </c>
      <c r="G20" s="363">
        <v>75</v>
      </c>
      <c r="H20" s="363">
        <v>75</v>
      </c>
      <c r="I20" s="363">
        <v>106</v>
      </c>
      <c r="J20" s="363">
        <v>111</v>
      </c>
      <c r="K20" s="363"/>
      <c r="L20" s="363"/>
      <c r="M20" s="363"/>
      <c r="N20" s="363"/>
      <c r="O20" s="363"/>
      <c r="P20" s="363"/>
      <c r="Q20" s="361">
        <f>IF(SUM(E20:P20)=0,"",AVERAGE(E20:P20))</f>
        <v>86.166666666666671</v>
      </c>
      <c r="R20" s="139"/>
    </row>
    <row r="21" spans="2:18" s="1" customFormat="1" ht="20.25" customHeight="1">
      <c r="B21" s="138"/>
      <c r="C21" s="414"/>
      <c r="D21" s="104" t="s">
        <v>114</v>
      </c>
      <c r="E21" s="364">
        <v>12</v>
      </c>
      <c r="F21" s="365">
        <v>30</v>
      </c>
      <c r="G21" s="365">
        <v>33</v>
      </c>
      <c r="H21" s="365">
        <v>25</v>
      </c>
      <c r="I21" s="365">
        <v>27</v>
      </c>
      <c r="J21" s="365">
        <v>26</v>
      </c>
      <c r="K21" s="365"/>
      <c r="L21" s="365"/>
      <c r="M21" s="365"/>
      <c r="N21" s="365"/>
      <c r="O21" s="365"/>
      <c r="P21" s="365"/>
      <c r="Q21" s="361">
        <f>IF(SUM(E21:P21)=0,"",AVERAGE(E21:P21))</f>
        <v>25.5</v>
      </c>
      <c r="R21" s="139"/>
    </row>
    <row r="22" spans="2:18" s="1" customFormat="1" ht="20.25" customHeight="1">
      <c r="B22" s="138"/>
      <c r="C22" s="399" t="s">
        <v>92</v>
      </c>
      <c r="D22" s="113" t="s">
        <v>120</v>
      </c>
      <c r="E22" s="142">
        <v>360000</v>
      </c>
      <c r="F22" s="142">
        <v>320000</v>
      </c>
      <c r="G22" s="142">
        <v>400000</v>
      </c>
      <c r="H22" s="142">
        <v>360000</v>
      </c>
      <c r="I22" s="142">
        <v>450000</v>
      </c>
      <c r="J22" s="142">
        <v>475000</v>
      </c>
      <c r="K22" s="142">
        <v>510000</v>
      </c>
      <c r="L22" s="142"/>
      <c r="M22" s="142"/>
      <c r="N22" s="142"/>
      <c r="O22" s="142"/>
      <c r="P22" s="142"/>
      <c r="Q22" s="143">
        <f t="shared" si="13"/>
        <v>2875000</v>
      </c>
      <c r="R22" s="139"/>
    </row>
    <row r="23" spans="2:18" s="1" customFormat="1" ht="20.25" customHeight="1">
      <c r="B23" s="138"/>
      <c r="C23" s="400"/>
      <c r="D23" s="86" t="s">
        <v>121</v>
      </c>
      <c r="E23" s="114">
        <v>295776.23</v>
      </c>
      <c r="F23" s="114">
        <v>236813.43</v>
      </c>
      <c r="G23" s="114">
        <v>302009.59000000003</v>
      </c>
      <c r="H23" s="114">
        <v>342226.31</v>
      </c>
      <c r="I23" s="114">
        <v>230350.54</v>
      </c>
      <c r="J23" s="114">
        <v>354218.8</v>
      </c>
      <c r="K23" s="114"/>
      <c r="L23" s="114"/>
      <c r="M23" s="114"/>
      <c r="N23" s="114"/>
      <c r="O23" s="114"/>
      <c r="P23" s="114"/>
      <c r="Q23" s="120">
        <f t="shared" si="13"/>
        <v>1761394.9000000001</v>
      </c>
      <c r="R23" s="139"/>
    </row>
    <row r="24" spans="2:18" s="1" customFormat="1" ht="20.25" customHeight="1">
      <c r="B24" s="138"/>
      <c r="C24" s="400"/>
      <c r="D24" s="87" t="s">
        <v>122</v>
      </c>
      <c r="E24" s="115">
        <f>IF(E22=0,"",E23/E22)</f>
        <v>0.82160063888888879</v>
      </c>
      <c r="F24" s="115">
        <f t="shared" ref="F24" si="14">IF(F22=0,"",F23/F22)</f>
        <v>0.74004196874999995</v>
      </c>
      <c r="G24" s="115">
        <f t="shared" ref="G24" si="15">IF(G22=0,"",G23/G22)</f>
        <v>0.75502397500000007</v>
      </c>
      <c r="H24" s="115">
        <f t="shared" ref="H24" si="16">IF(H22=0,"",H23/H22)</f>
        <v>0.95062863888888893</v>
      </c>
      <c r="I24" s="115">
        <f t="shared" ref="I24" si="17">IF(I22=0,"",I23/I22)</f>
        <v>0.51189008888888887</v>
      </c>
      <c r="J24" s="115">
        <f t="shared" ref="J24" si="18">IF(J22=0,"",J23/J22)</f>
        <v>0.74572378947368423</v>
      </c>
      <c r="K24" s="115">
        <f t="shared" ref="K24" si="19">IF(K22=0,"",K23/K22)</f>
        <v>0</v>
      </c>
      <c r="L24" s="115" t="str">
        <f t="shared" ref="L24" si="20">IF(L22=0,"",L23/L22)</f>
        <v/>
      </c>
      <c r="M24" s="115" t="str">
        <f t="shared" ref="M24" si="21">IF(M22=0,"",M23/M22)</f>
        <v/>
      </c>
      <c r="N24" s="115" t="str">
        <f t="shared" ref="N24" si="22">IF(N22=0,"",N23/N22)</f>
        <v/>
      </c>
      <c r="O24" s="115" t="str">
        <f t="shared" ref="O24" si="23">IF(O22=0,"",O23/O22)</f>
        <v/>
      </c>
      <c r="P24" s="115" t="str">
        <f t="shared" ref="P24" si="24">IF(P22=0,"",P23/P22)</f>
        <v/>
      </c>
      <c r="Q24" s="121">
        <f>IF(Q22=0,"",Q23/Q22)</f>
        <v>0.61265909565217391</v>
      </c>
      <c r="R24" s="139"/>
    </row>
    <row r="25" spans="2:18" s="1" customFormat="1" ht="20.25" customHeight="1">
      <c r="B25" s="138"/>
      <c r="C25" s="400"/>
      <c r="D25" s="87" t="s">
        <v>125</v>
      </c>
      <c r="E25" s="265">
        <v>0</v>
      </c>
      <c r="F25" s="265">
        <v>0</v>
      </c>
      <c r="G25" s="265">
        <v>0</v>
      </c>
      <c r="H25" s="266">
        <v>0</v>
      </c>
      <c r="I25" s="266">
        <v>2</v>
      </c>
      <c r="J25" s="266">
        <v>0</v>
      </c>
      <c r="K25" s="266"/>
      <c r="L25" s="266"/>
      <c r="M25" s="266"/>
      <c r="N25" s="266"/>
      <c r="O25" s="266"/>
      <c r="P25" s="266"/>
      <c r="Q25" s="267">
        <f>SUM(E25:P25)</f>
        <v>2</v>
      </c>
      <c r="R25" s="139"/>
    </row>
    <row r="26" spans="2:18" s="1" customFormat="1" ht="20.25" customHeight="1">
      <c r="B26" s="138"/>
      <c r="C26" s="400"/>
      <c r="D26" s="87" t="s">
        <v>126</v>
      </c>
      <c r="E26" s="265">
        <v>0</v>
      </c>
      <c r="F26" s="265">
        <v>0</v>
      </c>
      <c r="G26" s="265">
        <v>0</v>
      </c>
      <c r="H26" s="266">
        <v>0</v>
      </c>
      <c r="I26" s="266">
        <v>0</v>
      </c>
      <c r="J26" s="266">
        <v>0</v>
      </c>
      <c r="K26" s="266"/>
      <c r="L26" s="266"/>
      <c r="M26" s="266"/>
      <c r="N26" s="266"/>
      <c r="O26" s="266"/>
      <c r="P26" s="266"/>
      <c r="Q26" s="267">
        <f>SUM(E26:P26)</f>
        <v>0</v>
      </c>
      <c r="R26" s="139"/>
    </row>
    <row r="27" spans="2:18" s="1" customFormat="1" ht="20.25" customHeight="1">
      <c r="B27" s="138"/>
      <c r="C27" s="400"/>
      <c r="D27" s="87" t="s">
        <v>122</v>
      </c>
      <c r="E27" s="376" t="str">
        <f t="shared" ref="E27:H27" si="25">IF(E25=0,"",E26/E25)</f>
        <v/>
      </c>
      <c r="F27" s="376" t="str">
        <f t="shared" si="25"/>
        <v/>
      </c>
      <c r="G27" s="376" t="str">
        <f t="shared" si="25"/>
        <v/>
      </c>
      <c r="H27" s="376" t="str">
        <f t="shared" si="25"/>
        <v/>
      </c>
      <c r="I27" s="376">
        <f>IF(I25=0,"",I26/I25)</f>
        <v>0</v>
      </c>
      <c r="J27" s="376" t="str">
        <f t="shared" ref="J27:P27" si="26">IF(J25=0,"",J26/J25)</f>
        <v/>
      </c>
      <c r="K27" s="376" t="str">
        <f t="shared" si="26"/>
        <v/>
      </c>
      <c r="L27" s="376" t="str">
        <f t="shared" si="26"/>
        <v/>
      </c>
      <c r="M27" s="376" t="str">
        <f t="shared" si="26"/>
        <v/>
      </c>
      <c r="N27" s="376" t="str">
        <f t="shared" si="26"/>
        <v/>
      </c>
      <c r="O27" s="376" t="str">
        <f t="shared" si="26"/>
        <v/>
      </c>
      <c r="P27" s="376" t="str">
        <f t="shared" si="26"/>
        <v/>
      </c>
      <c r="Q27" s="121">
        <f>IF(Q23=0,"",Q23/Q22)</f>
        <v>0.61265909565217391</v>
      </c>
      <c r="R27" s="139"/>
    </row>
    <row r="28" spans="2:18" s="1" customFormat="1" ht="20.25" customHeight="1">
      <c r="B28" s="138"/>
      <c r="C28" s="400"/>
      <c r="D28" s="86" t="s">
        <v>123</v>
      </c>
      <c r="E28" s="114">
        <v>306034.15999999997</v>
      </c>
      <c r="F28" s="114">
        <v>243983.88</v>
      </c>
      <c r="G28" s="114">
        <v>302009.59000000003</v>
      </c>
      <c r="H28" s="114">
        <v>335993.99</v>
      </c>
      <c r="I28" s="114">
        <v>233324</v>
      </c>
      <c r="J28" s="114">
        <v>355781.07</v>
      </c>
      <c r="K28" s="114"/>
      <c r="L28" s="114"/>
      <c r="M28" s="114"/>
      <c r="N28" s="114"/>
      <c r="O28" s="114"/>
      <c r="P28" s="114"/>
      <c r="Q28" s="120">
        <f t="shared" ref="Q28:Q32" si="27">SUM(E28:P28)</f>
        <v>1777126.6900000002</v>
      </c>
      <c r="R28" s="139"/>
    </row>
    <row r="29" spans="2:18" s="1" customFormat="1" ht="20.25" customHeight="1">
      <c r="B29" s="138"/>
      <c r="C29" s="400"/>
      <c r="D29" s="86" t="s">
        <v>124</v>
      </c>
      <c r="E29" s="391">
        <v>264</v>
      </c>
      <c r="F29" s="373">
        <v>264</v>
      </c>
      <c r="G29" s="373">
        <v>264</v>
      </c>
      <c r="H29" s="373">
        <v>264</v>
      </c>
      <c r="I29" s="373">
        <v>265</v>
      </c>
      <c r="J29" s="373">
        <v>274</v>
      </c>
      <c r="K29" s="373"/>
      <c r="L29" s="373"/>
      <c r="M29" s="373"/>
      <c r="N29" s="373"/>
      <c r="O29" s="373"/>
      <c r="P29" s="373"/>
      <c r="Q29" s="120">
        <f>IF(SUM(E29:P29)=0,"",AVERAGE(E29:P29))</f>
        <v>265.83333333333331</v>
      </c>
      <c r="R29" s="139"/>
    </row>
    <row r="30" spans="2:18" s="1" customFormat="1" ht="20.25" customHeight="1">
      <c r="B30" s="138"/>
      <c r="C30" s="401"/>
      <c r="D30" s="88" t="s">
        <v>114</v>
      </c>
      <c r="E30" s="367">
        <v>142</v>
      </c>
      <c r="F30" s="368">
        <v>126</v>
      </c>
      <c r="G30" s="368">
        <v>133</v>
      </c>
      <c r="H30" s="368">
        <v>142</v>
      </c>
      <c r="I30" s="368">
        <v>130</v>
      </c>
      <c r="J30" s="368">
        <v>160</v>
      </c>
      <c r="K30" s="368"/>
      <c r="L30" s="368"/>
      <c r="M30" s="368"/>
      <c r="N30" s="368"/>
      <c r="O30" s="368"/>
      <c r="P30" s="368"/>
      <c r="Q30" s="239">
        <f>IF(SUM(E30:P30)=0,"",AVERAGE(E30:P30))</f>
        <v>138.83333333333334</v>
      </c>
      <c r="R30" s="139"/>
    </row>
    <row r="31" spans="2:18" s="1" customFormat="1" ht="20.25" customHeight="1">
      <c r="B31" s="138"/>
      <c r="C31" s="412" t="s">
        <v>127</v>
      </c>
      <c r="D31" s="110" t="s">
        <v>120</v>
      </c>
      <c r="E31" s="140">
        <v>15000</v>
      </c>
      <c r="F31" s="140">
        <v>15000</v>
      </c>
      <c r="G31" s="140">
        <v>15000</v>
      </c>
      <c r="H31" s="140">
        <v>15000</v>
      </c>
      <c r="I31" s="140">
        <v>20000</v>
      </c>
      <c r="J31" s="140">
        <v>25000</v>
      </c>
      <c r="K31" s="140">
        <v>25000</v>
      </c>
      <c r="L31" s="140"/>
      <c r="M31" s="140"/>
      <c r="N31" s="140"/>
      <c r="O31" s="140"/>
      <c r="P31" s="140"/>
      <c r="Q31" s="141">
        <f t="shared" si="27"/>
        <v>130000</v>
      </c>
      <c r="R31" s="139"/>
    </row>
    <row r="32" spans="2:18" s="1" customFormat="1" ht="20.25" customHeight="1">
      <c r="B32" s="138"/>
      <c r="C32" s="413"/>
      <c r="D32" s="85" t="s">
        <v>121</v>
      </c>
      <c r="E32" s="112">
        <v>0</v>
      </c>
      <c r="F32" s="112">
        <v>9487.08</v>
      </c>
      <c r="G32" s="112">
        <v>8433.31</v>
      </c>
      <c r="H32" s="112">
        <v>13456.8</v>
      </c>
      <c r="I32" s="112">
        <v>10315.51</v>
      </c>
      <c r="J32" s="112">
        <v>32841.5</v>
      </c>
      <c r="K32" s="112"/>
      <c r="L32" s="112"/>
      <c r="M32" s="112"/>
      <c r="N32" s="112"/>
      <c r="O32" s="112"/>
      <c r="P32" s="112"/>
      <c r="Q32" s="118">
        <f t="shared" si="27"/>
        <v>74534.2</v>
      </c>
      <c r="R32" s="139"/>
    </row>
    <row r="33" spans="2:18" s="1" customFormat="1" ht="20.25" customHeight="1">
      <c r="B33" s="138"/>
      <c r="C33" s="413"/>
      <c r="D33" s="89" t="s">
        <v>122</v>
      </c>
      <c r="E33" s="111">
        <f>IF(E31=0,"",E32/E31)</f>
        <v>0</v>
      </c>
      <c r="F33" s="111">
        <f t="shared" ref="F33" si="28">IF(F31=0,"",F32/F31)</f>
        <v>0.63247200000000003</v>
      </c>
      <c r="G33" s="111">
        <f t="shared" ref="G33" si="29">IF(G31=0,"",G32/G31)</f>
        <v>0.56222066666666659</v>
      </c>
      <c r="H33" s="111">
        <f t="shared" ref="H33" si="30">IF(H31=0,"",H32/H31)</f>
        <v>0.89711999999999992</v>
      </c>
      <c r="I33" s="111">
        <f t="shared" ref="I33" si="31">IF(I31=0,"",I32/I31)</f>
        <v>0.51577550000000005</v>
      </c>
      <c r="J33" s="111">
        <f t="shared" ref="J33" si="32">IF(J31=0,"",J32/J31)</f>
        <v>1.31366</v>
      </c>
      <c r="K33" s="111">
        <f t="shared" ref="K33" si="33">IF(K31=0,"",K32/K31)</f>
        <v>0</v>
      </c>
      <c r="L33" s="111" t="str">
        <f t="shared" ref="L33" si="34">IF(L31=0,"",L32/L31)</f>
        <v/>
      </c>
      <c r="M33" s="111" t="str">
        <f t="shared" ref="M33" si="35">IF(M31=0,"",M32/M31)</f>
        <v/>
      </c>
      <c r="N33" s="111" t="str">
        <f t="shared" ref="N33" si="36">IF(N31=0,"",N32/N31)</f>
        <v/>
      </c>
      <c r="O33" s="111" t="str">
        <f t="shared" ref="O33" si="37">IF(O31=0,"",O32/O31)</f>
        <v/>
      </c>
      <c r="P33" s="111" t="str">
        <f t="shared" ref="P33" si="38">IF(P31=0,"",P32/P31)</f>
        <v/>
      </c>
      <c r="Q33" s="119">
        <f>IF(Q31=0,"",Q32/Q31)</f>
        <v>0.57333999999999996</v>
      </c>
      <c r="R33" s="139"/>
    </row>
    <row r="34" spans="2:18" s="1" customFormat="1" ht="20.25" customHeight="1">
      <c r="B34" s="138"/>
      <c r="C34" s="413"/>
      <c r="D34" s="89" t="s">
        <v>125</v>
      </c>
      <c r="E34" s="369">
        <v>0</v>
      </c>
      <c r="F34" s="369">
        <v>0</v>
      </c>
      <c r="G34" s="369">
        <v>0</v>
      </c>
      <c r="H34" s="370">
        <v>0</v>
      </c>
      <c r="I34" s="370">
        <v>1</v>
      </c>
      <c r="J34" s="370">
        <v>3</v>
      </c>
      <c r="K34" s="370">
        <v>3</v>
      </c>
      <c r="L34" s="370"/>
      <c r="M34" s="370"/>
      <c r="N34" s="370"/>
      <c r="O34" s="370"/>
      <c r="P34" s="370"/>
      <c r="Q34" s="371">
        <f>SUM(E34:P34)</f>
        <v>7</v>
      </c>
      <c r="R34" s="139"/>
    </row>
    <row r="35" spans="2:18" s="1" customFormat="1" ht="20.25" customHeight="1">
      <c r="B35" s="138"/>
      <c r="C35" s="413"/>
      <c r="D35" s="89" t="s">
        <v>126</v>
      </c>
      <c r="E35" s="369">
        <v>0</v>
      </c>
      <c r="F35" s="369">
        <v>0</v>
      </c>
      <c r="G35" s="369">
        <v>0</v>
      </c>
      <c r="H35" s="370">
        <v>0</v>
      </c>
      <c r="I35" s="370">
        <v>2</v>
      </c>
      <c r="J35" s="370">
        <v>7</v>
      </c>
      <c r="K35" s="370"/>
      <c r="L35" s="370"/>
      <c r="M35" s="370"/>
      <c r="N35" s="370"/>
      <c r="O35" s="370"/>
      <c r="P35" s="370"/>
      <c r="Q35" s="371">
        <f>SUM(E35:P35)</f>
        <v>9</v>
      </c>
      <c r="R35" s="139"/>
    </row>
    <row r="36" spans="2:18" s="1" customFormat="1" ht="20.25" customHeight="1">
      <c r="B36" s="138"/>
      <c r="C36" s="413"/>
      <c r="D36" s="89" t="s">
        <v>122</v>
      </c>
      <c r="E36" s="374" t="str">
        <f t="shared" ref="E36" si="39">IF(E34=0,"",E35/E34)</f>
        <v/>
      </c>
      <c r="F36" s="374" t="str">
        <f t="shared" ref="F36" si="40">IF(F34=0,"",F35/F34)</f>
        <v/>
      </c>
      <c r="G36" s="374" t="str">
        <f t="shared" ref="G36" si="41">IF(G34=0,"",G35/G34)</f>
        <v/>
      </c>
      <c r="H36" s="374" t="str">
        <f t="shared" ref="H36" si="42">IF(H34=0,"",H35/H34)</f>
        <v/>
      </c>
      <c r="I36" s="374">
        <f>IF(I34=0,"",I35/I34)</f>
        <v>2</v>
      </c>
      <c r="J36" s="374">
        <f t="shared" ref="J36" si="43">IF(J34=0,"",J35/J34)</f>
        <v>2.3333333333333335</v>
      </c>
      <c r="K36" s="374">
        <f t="shared" ref="K36" si="44">IF(K34=0,"",K35/K34)</f>
        <v>0</v>
      </c>
      <c r="L36" s="374" t="str">
        <f t="shared" ref="L36" si="45">IF(L34=0,"",L35/L34)</f>
        <v/>
      </c>
      <c r="M36" s="374" t="str">
        <f t="shared" ref="M36" si="46">IF(M34=0,"",M35/M34)</f>
        <v/>
      </c>
      <c r="N36" s="374" t="str">
        <f t="shared" ref="N36" si="47">IF(N34=0,"",N35/N34)</f>
        <v/>
      </c>
      <c r="O36" s="374" t="str">
        <f t="shared" ref="O36" si="48">IF(O34=0,"",O35/O34)</f>
        <v/>
      </c>
      <c r="P36" s="374" t="str">
        <f t="shared" ref="P36" si="49">IF(P34=0,"",P35/P34)</f>
        <v/>
      </c>
      <c r="Q36" s="119">
        <f t="shared" ref="F36:Q36" si="50">IF(Q34=0,"",Q35/Q34)</f>
        <v>1.2857142857142858</v>
      </c>
      <c r="R36" s="139"/>
    </row>
    <row r="37" spans="2:18" s="1" customFormat="1" ht="20.25" customHeight="1">
      <c r="B37" s="138"/>
      <c r="C37" s="413"/>
      <c r="D37" s="85" t="s">
        <v>123</v>
      </c>
      <c r="E37" s="112">
        <v>0</v>
      </c>
      <c r="F37" s="112">
        <v>0</v>
      </c>
      <c r="G37" s="112">
        <v>18280.39</v>
      </c>
      <c r="H37" s="112">
        <v>13456.8</v>
      </c>
      <c r="I37" s="112">
        <v>10431.629999999999</v>
      </c>
      <c r="J37" s="112">
        <v>32841.5</v>
      </c>
      <c r="K37" s="112"/>
      <c r="L37" s="112"/>
      <c r="M37" s="112"/>
      <c r="N37" s="112"/>
      <c r="O37" s="112"/>
      <c r="P37" s="112"/>
      <c r="Q37" s="118">
        <f t="shared" ref="Q37:Q41" si="51">SUM(E37:P37)</f>
        <v>75010.320000000007</v>
      </c>
      <c r="R37" s="139"/>
    </row>
    <row r="38" spans="2:18" s="1" customFormat="1" ht="20.25" customHeight="1">
      <c r="B38" s="138"/>
      <c r="C38" s="413"/>
      <c r="D38" s="85" t="s">
        <v>124</v>
      </c>
      <c r="E38" s="390">
        <v>7</v>
      </c>
      <c r="F38" s="372">
        <v>7</v>
      </c>
      <c r="G38" s="372">
        <v>7</v>
      </c>
      <c r="H38" s="372">
        <v>6</v>
      </c>
      <c r="I38" s="372">
        <v>8</v>
      </c>
      <c r="J38" s="372">
        <v>15</v>
      </c>
      <c r="K38" s="372"/>
      <c r="L38" s="372"/>
      <c r="M38" s="372"/>
      <c r="N38" s="372"/>
      <c r="O38" s="372"/>
      <c r="P38" s="372"/>
      <c r="Q38" s="118">
        <f>IF(SUM(E38:P38)=0,"",AVERAGE(E38:P38))</f>
        <v>8.3333333333333339</v>
      </c>
      <c r="R38" s="139"/>
    </row>
    <row r="39" spans="2:18" s="1" customFormat="1" ht="20.25" customHeight="1">
      <c r="B39" s="138"/>
      <c r="C39" s="414"/>
      <c r="D39" s="104" t="s">
        <v>114</v>
      </c>
      <c r="E39" s="364">
        <v>3</v>
      </c>
      <c r="F39" s="365">
        <v>3</v>
      </c>
      <c r="G39" s="365">
        <v>1</v>
      </c>
      <c r="H39" s="365">
        <v>2</v>
      </c>
      <c r="I39" s="365">
        <v>3</v>
      </c>
      <c r="J39" s="365">
        <v>11</v>
      </c>
      <c r="K39" s="365"/>
      <c r="L39" s="365"/>
      <c r="M39" s="365"/>
      <c r="N39" s="365"/>
      <c r="O39" s="365"/>
      <c r="P39" s="365"/>
      <c r="Q39" s="361">
        <f>IF(SUM(E39:P39)=0,"",AVERAGE(E39:P39))</f>
        <v>3.8333333333333335</v>
      </c>
      <c r="R39" s="139"/>
    </row>
    <row r="40" spans="2:18" s="1" customFormat="1" ht="20.25" customHeight="1">
      <c r="B40" s="138"/>
      <c r="C40" s="399" t="s">
        <v>128</v>
      </c>
      <c r="D40" s="113" t="s">
        <v>120</v>
      </c>
      <c r="E40" s="142">
        <v>25000</v>
      </c>
      <c r="F40" s="142">
        <v>25000</v>
      </c>
      <c r="G40" s="142">
        <v>25000</v>
      </c>
      <c r="H40" s="142">
        <v>30000</v>
      </c>
      <c r="I40" s="142">
        <v>35000</v>
      </c>
      <c r="J40" s="142">
        <v>40000</v>
      </c>
      <c r="K40" s="142">
        <v>45000</v>
      </c>
      <c r="L40" s="142"/>
      <c r="M40" s="142"/>
      <c r="N40" s="142"/>
      <c r="O40" s="142"/>
      <c r="P40" s="142"/>
      <c r="Q40" s="143">
        <f t="shared" si="51"/>
        <v>225000</v>
      </c>
      <c r="R40" s="139"/>
    </row>
    <row r="41" spans="2:18" s="1" customFormat="1" ht="20.25" customHeight="1">
      <c r="B41" s="138"/>
      <c r="C41" s="400"/>
      <c r="D41" s="86" t="s">
        <v>121</v>
      </c>
      <c r="E41" s="114">
        <f>14108.69+575.96</f>
        <v>14684.650000000001</v>
      </c>
      <c r="F41" s="114">
        <v>15900.4</v>
      </c>
      <c r="G41" s="114">
        <v>35959.629999999997</v>
      </c>
      <c r="H41" s="114">
        <v>34296.25</v>
      </c>
      <c r="I41" s="114">
        <v>31598.43</v>
      </c>
      <c r="J41" s="114">
        <v>66899.94</v>
      </c>
      <c r="K41" s="114"/>
      <c r="L41" s="114"/>
      <c r="M41" s="114"/>
      <c r="N41" s="114"/>
      <c r="O41" s="114"/>
      <c r="P41" s="114"/>
      <c r="Q41" s="120">
        <f t="shared" si="51"/>
        <v>199339.3</v>
      </c>
      <c r="R41" s="139"/>
    </row>
    <row r="42" spans="2:18" s="1" customFormat="1" ht="20.25" customHeight="1">
      <c r="B42" s="138"/>
      <c r="C42" s="400"/>
      <c r="D42" s="87" t="s">
        <v>122</v>
      </c>
      <c r="E42" s="115">
        <f>IF(E40=0,"",E41/E40)</f>
        <v>0.58738600000000007</v>
      </c>
      <c r="F42" s="115">
        <f t="shared" ref="F42" si="52">IF(F40=0,"",F41/F40)</f>
        <v>0.63601600000000003</v>
      </c>
      <c r="G42" s="115">
        <f t="shared" ref="G42" si="53">IF(G40=0,"",G41/G40)</f>
        <v>1.4383851999999999</v>
      </c>
      <c r="H42" s="115">
        <f t="shared" ref="H42" si="54">IF(H40=0,"",H41/H40)</f>
        <v>1.1432083333333334</v>
      </c>
      <c r="I42" s="115">
        <f t="shared" ref="I42" si="55">IF(I40=0,"",I41/I40)</f>
        <v>0.90281228571428573</v>
      </c>
      <c r="J42" s="115">
        <f t="shared" ref="J42" si="56">IF(J40=0,"",J41/J40)</f>
        <v>1.6724985000000001</v>
      </c>
      <c r="K42" s="115">
        <f t="shared" ref="K42" si="57">IF(K40=0,"",K41/K40)</f>
        <v>0</v>
      </c>
      <c r="L42" s="115" t="str">
        <f t="shared" ref="L42" si="58">IF(L40=0,"",L41/L40)</f>
        <v/>
      </c>
      <c r="M42" s="115" t="str">
        <f t="shared" ref="M42" si="59">IF(M40=0,"",M41/M40)</f>
        <v/>
      </c>
      <c r="N42" s="115" t="str">
        <f t="shared" ref="N42" si="60">IF(N40=0,"",N41/N40)</f>
        <v/>
      </c>
      <c r="O42" s="115" t="str">
        <f t="shared" ref="O42" si="61">IF(O40=0,"",O41/O40)</f>
        <v/>
      </c>
      <c r="P42" s="115" t="str">
        <f t="shared" ref="P42" si="62">IF(P40=0,"",P41/P40)</f>
        <v/>
      </c>
      <c r="Q42" s="121">
        <f>IF(Q40=0,"",Q41/Q40)</f>
        <v>0.88595244444444443</v>
      </c>
      <c r="R42" s="139"/>
    </row>
    <row r="43" spans="2:18" s="1" customFormat="1" ht="20.25" customHeight="1">
      <c r="B43" s="138"/>
      <c r="C43" s="400"/>
      <c r="D43" s="86" t="s">
        <v>123</v>
      </c>
      <c r="E43" s="114">
        <f>19292.33+575.96</f>
        <v>19868.29</v>
      </c>
      <c r="F43" s="114">
        <v>14916.5</v>
      </c>
      <c r="G43" s="114">
        <v>36084.769999999997</v>
      </c>
      <c r="H43" s="114">
        <v>42732.44</v>
      </c>
      <c r="I43" s="114">
        <v>30006.44</v>
      </c>
      <c r="J43" s="114">
        <v>58414.03</v>
      </c>
      <c r="K43" s="114"/>
      <c r="L43" s="114"/>
      <c r="M43" s="114"/>
      <c r="N43" s="114"/>
      <c r="O43" s="114"/>
      <c r="P43" s="114"/>
      <c r="Q43" s="120">
        <f t="shared" ref="Q43:Q58" si="63">SUM(E43:P43)</f>
        <v>202022.47</v>
      </c>
      <c r="R43" s="139"/>
    </row>
    <row r="44" spans="2:18" s="1" customFormat="1" ht="20.25" customHeight="1">
      <c r="B44" s="138"/>
      <c r="C44" s="400"/>
      <c r="D44" s="86" t="s">
        <v>124</v>
      </c>
      <c r="E44" s="391">
        <v>113</v>
      </c>
      <c r="F44" s="373">
        <v>113</v>
      </c>
      <c r="G44" s="373">
        <v>113</v>
      </c>
      <c r="H44" s="373">
        <v>113</v>
      </c>
      <c r="I44" s="373">
        <v>113</v>
      </c>
      <c r="J44" s="373">
        <v>113</v>
      </c>
      <c r="K44" s="373"/>
      <c r="L44" s="373"/>
      <c r="M44" s="373"/>
      <c r="N44" s="373"/>
      <c r="O44" s="373"/>
      <c r="P44" s="373"/>
      <c r="Q44" s="120">
        <f>IF(SUM(E44:P44)=0,"",AVERAGE(E44:P44))</f>
        <v>113</v>
      </c>
      <c r="R44" s="139"/>
    </row>
    <row r="45" spans="2:18" s="1" customFormat="1" ht="20.25" customHeight="1">
      <c r="B45" s="138"/>
      <c r="C45" s="401"/>
      <c r="D45" s="88" t="s">
        <v>114</v>
      </c>
      <c r="E45" s="367">
        <v>31</v>
      </c>
      <c r="F45" s="368">
        <v>13</v>
      </c>
      <c r="G45" s="368">
        <v>35</v>
      </c>
      <c r="H45" s="368">
        <v>32</v>
      </c>
      <c r="I45" s="368">
        <v>23</v>
      </c>
      <c r="J45" s="368">
        <v>47</v>
      </c>
      <c r="K45" s="368"/>
      <c r="L45" s="368"/>
      <c r="M45" s="368"/>
      <c r="N45" s="368"/>
      <c r="O45" s="368"/>
      <c r="P45" s="368"/>
      <c r="Q45" s="239">
        <f>IF(SUM(E45:P45)=0,"",AVERAGE(E45:P45))</f>
        <v>30.166666666666668</v>
      </c>
      <c r="R45" s="139"/>
    </row>
    <row r="46" spans="2:18" s="1" customFormat="1" ht="20.25" customHeight="1">
      <c r="B46" s="138"/>
      <c r="C46" s="402" t="s">
        <v>129</v>
      </c>
      <c r="D46" s="110" t="s">
        <v>120</v>
      </c>
      <c r="E46" s="140">
        <v>20000</v>
      </c>
      <c r="F46" s="140">
        <v>20000</v>
      </c>
      <c r="G46" s="140">
        <v>25000</v>
      </c>
      <c r="H46" s="140">
        <v>30000</v>
      </c>
      <c r="I46" s="140">
        <v>30000</v>
      </c>
      <c r="J46" s="140">
        <v>30000</v>
      </c>
      <c r="K46" s="140">
        <v>30000</v>
      </c>
      <c r="L46" s="140"/>
      <c r="M46" s="140"/>
      <c r="N46" s="140"/>
      <c r="O46" s="140"/>
      <c r="P46" s="140"/>
      <c r="Q46" s="141">
        <f t="shared" si="63"/>
        <v>185000</v>
      </c>
      <c r="R46" s="139"/>
    </row>
    <row r="47" spans="2:18" s="1" customFormat="1" ht="20.25" customHeight="1">
      <c r="B47" s="138"/>
      <c r="C47" s="403"/>
      <c r="D47" s="85" t="s">
        <v>121</v>
      </c>
      <c r="E47" s="112">
        <v>14796.82</v>
      </c>
      <c r="F47" s="112">
        <v>27102.05</v>
      </c>
      <c r="G47" s="112">
        <v>38279.25</v>
      </c>
      <c r="H47" s="112">
        <v>11132.11</v>
      </c>
      <c r="I47" s="112">
        <v>15890.84</v>
      </c>
      <c r="J47" s="112">
        <v>25458.71</v>
      </c>
      <c r="K47" s="112"/>
      <c r="L47" s="112"/>
      <c r="M47" s="112"/>
      <c r="N47" s="112"/>
      <c r="O47" s="112"/>
      <c r="P47" s="112"/>
      <c r="Q47" s="118">
        <f t="shared" si="63"/>
        <v>132659.78</v>
      </c>
      <c r="R47" s="139"/>
    </row>
    <row r="48" spans="2:18" s="1" customFormat="1" ht="20.25" customHeight="1">
      <c r="B48" s="138"/>
      <c r="C48" s="403"/>
      <c r="D48" s="85" t="s">
        <v>122</v>
      </c>
      <c r="E48" s="374">
        <f t="shared" ref="E48:Q48" si="64">IF(E47="","",E47/E46)</f>
        <v>0.73984099999999997</v>
      </c>
      <c r="F48" s="374">
        <f t="shared" si="64"/>
        <v>1.3551024999999999</v>
      </c>
      <c r="G48" s="374">
        <f t="shared" si="64"/>
        <v>1.5311699999999999</v>
      </c>
      <c r="H48" s="374">
        <f t="shared" si="64"/>
        <v>0.37107033333333334</v>
      </c>
      <c r="I48" s="374">
        <f t="shared" si="64"/>
        <v>0.52969466666666665</v>
      </c>
      <c r="J48" s="374">
        <f t="shared" si="64"/>
        <v>0.84862366666666667</v>
      </c>
      <c r="K48" s="374" t="str">
        <f t="shared" si="64"/>
        <v/>
      </c>
      <c r="L48" s="374" t="str">
        <f t="shared" si="64"/>
        <v/>
      </c>
      <c r="M48" s="374" t="str">
        <f t="shared" si="64"/>
        <v/>
      </c>
      <c r="N48" s="374" t="str">
        <f t="shared" si="64"/>
        <v/>
      </c>
      <c r="O48" s="374" t="str">
        <f t="shared" si="64"/>
        <v/>
      </c>
      <c r="P48" s="374" t="str">
        <f t="shared" si="64"/>
        <v/>
      </c>
      <c r="Q48" s="375">
        <f t="shared" si="64"/>
        <v>0.71707989189189192</v>
      </c>
      <c r="R48" s="139"/>
    </row>
    <row r="49" spans="2:18" s="1" customFormat="1" ht="20.25" customHeight="1">
      <c r="B49" s="138"/>
      <c r="C49" s="403"/>
      <c r="D49" s="85" t="s">
        <v>123</v>
      </c>
      <c r="E49" s="112">
        <v>22331.73</v>
      </c>
      <c r="F49" s="112">
        <v>14900.21</v>
      </c>
      <c r="G49" s="112">
        <v>22450.43</v>
      </c>
      <c r="H49" s="112">
        <v>39109.26</v>
      </c>
      <c r="I49" s="112">
        <v>17158.900000000001</v>
      </c>
      <c r="J49" s="112">
        <v>18514.25</v>
      </c>
      <c r="K49" s="112"/>
      <c r="L49" s="112"/>
      <c r="M49" s="112"/>
      <c r="N49" s="112"/>
      <c r="O49" s="112"/>
      <c r="P49" s="112"/>
      <c r="Q49" s="118">
        <f t="shared" ref="Q49:Q68" si="65">SUM(E49:P49)</f>
        <v>134464.78</v>
      </c>
      <c r="R49" s="139"/>
    </row>
    <row r="50" spans="2:18" s="1" customFormat="1" ht="20.25" customHeight="1">
      <c r="B50" s="138"/>
      <c r="C50" s="403"/>
      <c r="D50" s="85" t="s">
        <v>124</v>
      </c>
      <c r="E50" s="390">
        <v>53</v>
      </c>
      <c r="F50" s="372">
        <v>53</v>
      </c>
      <c r="G50" s="372">
        <v>53</v>
      </c>
      <c r="H50" s="372">
        <v>53</v>
      </c>
      <c r="I50" s="372">
        <v>54</v>
      </c>
      <c r="J50" s="372">
        <v>54</v>
      </c>
      <c r="K50" s="372"/>
      <c r="L50" s="372"/>
      <c r="M50" s="372"/>
      <c r="N50" s="372"/>
      <c r="O50" s="372"/>
      <c r="P50" s="372"/>
      <c r="Q50" s="118">
        <f>IF(SUM(E50:P50)=0,"",AVERAGE(E50:P50))</f>
        <v>53.333333333333336</v>
      </c>
      <c r="R50" s="139"/>
    </row>
    <row r="51" spans="2:18" s="1" customFormat="1" ht="20.25" customHeight="1">
      <c r="B51" s="138"/>
      <c r="C51" s="404"/>
      <c r="D51" s="104" t="s">
        <v>114</v>
      </c>
      <c r="E51" s="364">
        <v>10</v>
      </c>
      <c r="F51" s="365">
        <v>14</v>
      </c>
      <c r="G51" s="365">
        <v>7</v>
      </c>
      <c r="H51" s="365">
        <v>6</v>
      </c>
      <c r="I51" s="365">
        <v>9</v>
      </c>
      <c r="J51" s="365">
        <v>13</v>
      </c>
      <c r="K51" s="365"/>
      <c r="L51" s="365"/>
      <c r="M51" s="365"/>
      <c r="N51" s="365"/>
      <c r="O51" s="365"/>
      <c r="P51" s="365"/>
      <c r="Q51" s="361">
        <f>IF(SUM(E51:P51)=0,"",AVERAGE(E51:P51))</f>
        <v>9.8333333333333339</v>
      </c>
      <c r="R51" s="139"/>
    </row>
    <row r="52" spans="2:18" s="1" customFormat="1" ht="20.25" customHeight="1">
      <c r="B52" s="138"/>
      <c r="C52" s="405" t="s">
        <v>130</v>
      </c>
      <c r="D52" s="113" t="s">
        <v>120</v>
      </c>
      <c r="E52" s="142">
        <v>15000</v>
      </c>
      <c r="F52" s="142">
        <v>100000</v>
      </c>
      <c r="G52" s="142">
        <v>100000</v>
      </c>
      <c r="H52" s="142">
        <v>30000</v>
      </c>
      <c r="I52" s="142">
        <v>70000</v>
      </c>
      <c r="J52" s="142">
        <v>50000</v>
      </c>
      <c r="K52" s="142">
        <v>100000</v>
      </c>
      <c r="L52" s="142"/>
      <c r="M52" s="142"/>
      <c r="N52" s="142"/>
      <c r="O52" s="142"/>
      <c r="P52" s="142"/>
      <c r="Q52" s="143">
        <f t="shared" si="65"/>
        <v>465000</v>
      </c>
      <c r="R52" s="139"/>
    </row>
    <row r="53" spans="2:18" s="1" customFormat="1" ht="20.25" customHeight="1">
      <c r="B53" s="138"/>
      <c r="C53" s="406"/>
      <c r="D53" s="86" t="s">
        <v>121</v>
      </c>
      <c r="E53" s="114">
        <v>13893.74</v>
      </c>
      <c r="F53" s="114">
        <v>5443.23</v>
      </c>
      <c r="G53" s="114">
        <v>116385.84</v>
      </c>
      <c r="H53" s="114">
        <v>47143.11</v>
      </c>
      <c r="I53" s="114">
        <v>121449.57</v>
      </c>
      <c r="J53" s="114">
        <v>69368.86</v>
      </c>
      <c r="K53" s="114"/>
      <c r="L53" s="114"/>
      <c r="M53" s="114"/>
      <c r="N53" s="114"/>
      <c r="O53" s="114"/>
      <c r="P53" s="114"/>
      <c r="Q53" s="120">
        <f t="shared" si="65"/>
        <v>373684.35</v>
      </c>
      <c r="R53" s="139"/>
    </row>
    <row r="54" spans="2:18" s="1" customFormat="1" ht="20.25" customHeight="1">
      <c r="B54" s="138"/>
      <c r="C54" s="406"/>
      <c r="D54" s="86" t="s">
        <v>122</v>
      </c>
      <c r="E54" s="376">
        <f>IF(E52=0,"",E53/E52)</f>
        <v>0.92624933333333337</v>
      </c>
      <c r="F54" s="376">
        <f t="shared" ref="F54" si="66">IF(F52=0,"",F53/F52)</f>
        <v>5.4432299999999996E-2</v>
      </c>
      <c r="G54" s="376">
        <f t="shared" ref="G54" si="67">IF(G52=0,"",G53/G52)</f>
        <v>1.1638584000000001</v>
      </c>
      <c r="H54" s="376">
        <f t="shared" ref="H54" si="68">IF(H52=0,"",H53/H52)</f>
        <v>1.571437</v>
      </c>
      <c r="I54" s="376">
        <f t="shared" ref="I54" si="69">IF(I52=0,"",I53/I52)</f>
        <v>1.7349938571428571</v>
      </c>
      <c r="J54" s="376">
        <f t="shared" ref="J54" si="70">IF(J52=0,"",J53/J52)</f>
        <v>1.3873772</v>
      </c>
      <c r="K54" s="376">
        <f t="shared" ref="K54" si="71">IF(K52=0,"",K53/K52)</f>
        <v>0</v>
      </c>
      <c r="L54" s="376" t="str">
        <f t="shared" ref="L54" si="72">IF(L52=0,"",L53/L52)</f>
        <v/>
      </c>
      <c r="M54" s="376" t="str">
        <f t="shared" ref="M54" si="73">IF(M52=0,"",M53/M52)</f>
        <v/>
      </c>
      <c r="N54" s="376" t="str">
        <f t="shared" ref="N54" si="74">IF(N52=0,"",N53/N52)</f>
        <v/>
      </c>
      <c r="O54" s="376" t="str">
        <f t="shared" ref="O54" si="75">IF(O52=0,"",O53/O52)</f>
        <v/>
      </c>
      <c r="P54" s="376" t="str">
        <f t="shared" ref="P54" si="76">IF(P52=0,"",P53/P52)</f>
        <v/>
      </c>
      <c r="Q54" s="375">
        <f>IF(Q52=0,"",Q53/Q52)</f>
        <v>0.80362225806451604</v>
      </c>
      <c r="R54" s="139"/>
    </row>
    <row r="55" spans="2:18" s="1" customFormat="1" ht="20.25" customHeight="1">
      <c r="B55" s="138"/>
      <c r="C55" s="406"/>
      <c r="D55" s="86" t="s">
        <v>123</v>
      </c>
      <c r="E55" s="114">
        <v>0</v>
      </c>
      <c r="F55" s="114">
        <v>19336.97</v>
      </c>
      <c r="G55" s="114">
        <v>116385.84</v>
      </c>
      <c r="H55" s="114">
        <v>46077.89</v>
      </c>
      <c r="I55" s="114">
        <v>0</v>
      </c>
      <c r="J55" s="114">
        <v>191158.75</v>
      </c>
      <c r="K55" s="114"/>
      <c r="L55" s="114"/>
      <c r="M55" s="114"/>
      <c r="N55" s="114"/>
      <c r="O55" s="114"/>
      <c r="P55" s="114"/>
      <c r="Q55" s="120">
        <f t="shared" ref="Q55:Q70" si="77">SUM(E55:P55)</f>
        <v>372959.45</v>
      </c>
      <c r="R55" s="139"/>
    </row>
    <row r="56" spans="2:18" s="1" customFormat="1" ht="20.25" customHeight="1">
      <c r="B56" s="138"/>
      <c r="C56" s="406"/>
      <c r="D56" s="86" t="s">
        <v>124</v>
      </c>
      <c r="E56" s="391">
        <v>2</v>
      </c>
      <c r="F56" s="373">
        <v>2</v>
      </c>
      <c r="G56" s="373">
        <v>2</v>
      </c>
      <c r="H56" s="373">
        <v>2</v>
      </c>
      <c r="I56" s="373">
        <v>3</v>
      </c>
      <c r="J56" s="373">
        <v>3</v>
      </c>
      <c r="K56" s="373"/>
      <c r="L56" s="373"/>
      <c r="M56" s="373"/>
      <c r="N56" s="373"/>
      <c r="O56" s="373"/>
      <c r="P56" s="373"/>
      <c r="Q56" s="120">
        <f>IF(SUM(E56:P56)=0,"",AVERAGE(E56:P56))</f>
        <v>2.3333333333333335</v>
      </c>
      <c r="R56" s="139"/>
    </row>
    <row r="57" spans="2:18" s="1" customFormat="1" ht="20.25" customHeight="1">
      <c r="B57" s="138"/>
      <c r="C57" s="407"/>
      <c r="D57" s="88" t="s">
        <v>114</v>
      </c>
      <c r="E57" s="367">
        <v>2</v>
      </c>
      <c r="F57" s="368">
        <v>1</v>
      </c>
      <c r="G57" s="368">
        <v>3</v>
      </c>
      <c r="H57" s="368">
        <v>4</v>
      </c>
      <c r="I57" s="368">
        <v>2</v>
      </c>
      <c r="J57" s="368">
        <v>3</v>
      </c>
      <c r="K57" s="368"/>
      <c r="L57" s="368"/>
      <c r="M57" s="368"/>
      <c r="N57" s="368"/>
      <c r="O57" s="368"/>
      <c r="P57" s="368"/>
      <c r="Q57" s="239">
        <f>IF(SUM(E57:P57)=0,"",AVERAGE(E57:P57))</f>
        <v>2.5</v>
      </c>
      <c r="R57" s="139"/>
    </row>
    <row r="58" spans="2:18" s="1" customFormat="1" ht="20.25" customHeight="1">
      <c r="B58" s="138"/>
      <c r="C58" s="408" t="s">
        <v>131</v>
      </c>
      <c r="D58" s="110" t="s">
        <v>120</v>
      </c>
      <c r="E58" s="377">
        <v>0</v>
      </c>
      <c r="F58" s="377">
        <v>0</v>
      </c>
      <c r="G58" s="377">
        <v>0</v>
      </c>
      <c r="H58" s="378">
        <v>0</v>
      </c>
      <c r="I58" s="378">
        <v>0</v>
      </c>
      <c r="J58" s="378">
        <v>15000</v>
      </c>
      <c r="K58" s="378">
        <v>15000</v>
      </c>
      <c r="L58" s="378"/>
      <c r="M58" s="378"/>
      <c r="N58" s="378"/>
      <c r="O58" s="378"/>
      <c r="P58" s="378"/>
      <c r="Q58" s="141">
        <f t="shared" si="63"/>
        <v>30000</v>
      </c>
      <c r="R58" s="139"/>
    </row>
    <row r="59" spans="2:18" s="1" customFormat="1" ht="20.25" customHeight="1">
      <c r="B59" s="138"/>
      <c r="C59" s="408"/>
      <c r="D59" s="85" t="s">
        <v>121</v>
      </c>
      <c r="E59" s="112">
        <v>0</v>
      </c>
      <c r="F59" s="112">
        <v>0</v>
      </c>
      <c r="G59" s="112">
        <v>0</v>
      </c>
      <c r="H59" s="379">
        <v>0</v>
      </c>
      <c r="I59" s="379">
        <v>0</v>
      </c>
      <c r="J59" s="379">
        <v>5399.26</v>
      </c>
      <c r="K59" s="379"/>
      <c r="L59" s="379"/>
      <c r="M59" s="379"/>
      <c r="N59" s="379"/>
      <c r="O59" s="379"/>
      <c r="P59" s="379"/>
      <c r="Q59" s="118">
        <f>SUM(E59:P59)</f>
        <v>5399.26</v>
      </c>
      <c r="R59" s="139"/>
    </row>
    <row r="60" spans="2:18" s="1" customFormat="1" ht="20.25" customHeight="1">
      <c r="B60" s="138"/>
      <c r="C60" s="408"/>
      <c r="D60" s="85" t="s">
        <v>122</v>
      </c>
      <c r="E60" s="374" t="str">
        <f>IF(E58=0,"",E59/E58)</f>
        <v/>
      </c>
      <c r="F60" s="374" t="str">
        <f t="shared" ref="F60" si="78">IF(F58=0,"",F59/F58)</f>
        <v/>
      </c>
      <c r="G60" s="374" t="str">
        <f t="shared" ref="G60" si="79">IF(G58=0,"",G59/G58)</f>
        <v/>
      </c>
      <c r="H60" s="374" t="str">
        <f t="shared" ref="H60" si="80">IF(H58=0,"",H59/H58)</f>
        <v/>
      </c>
      <c r="I60" s="374" t="str">
        <f t="shared" ref="I60" si="81">IF(I58=0,"",I59/I58)</f>
        <v/>
      </c>
      <c r="J60" s="374">
        <f t="shared" ref="J60" si="82">IF(J58=0,"",J59/J58)</f>
        <v>0.3599506666666667</v>
      </c>
      <c r="K60" s="374">
        <f t="shared" ref="K60" si="83">IF(K58=0,"",K59/K58)</f>
        <v>0</v>
      </c>
      <c r="L60" s="374" t="str">
        <f t="shared" ref="L60" si="84">IF(L58=0,"",L59/L58)</f>
        <v/>
      </c>
      <c r="M60" s="374" t="str">
        <f t="shared" ref="M60" si="85">IF(M58=0,"",M59/M58)</f>
        <v/>
      </c>
      <c r="N60" s="374" t="str">
        <f t="shared" ref="N60" si="86">IF(N58=0,"",N59/N58)</f>
        <v/>
      </c>
      <c r="O60" s="374" t="str">
        <f t="shared" ref="O60" si="87">IF(O58=0,"",O59/O58)</f>
        <v/>
      </c>
      <c r="P60" s="374" t="str">
        <f t="shared" ref="P60" si="88">IF(P58=0,"",P59/P58)</f>
        <v/>
      </c>
      <c r="Q60" s="375">
        <f>IF(Q58=0,"",Q59/Q58)</f>
        <v>0.17997533333333335</v>
      </c>
      <c r="R60" s="139"/>
    </row>
    <row r="61" spans="2:18" s="1" customFormat="1" ht="20.25" customHeight="1">
      <c r="B61" s="138"/>
      <c r="C61" s="408"/>
      <c r="D61" s="85" t="s">
        <v>125</v>
      </c>
      <c r="E61" s="380">
        <v>0</v>
      </c>
      <c r="F61" s="380">
        <v>0</v>
      </c>
      <c r="G61" s="380">
        <v>0</v>
      </c>
      <c r="H61" s="381">
        <v>0</v>
      </c>
      <c r="I61" s="381">
        <v>0</v>
      </c>
      <c r="J61" s="381">
        <v>3</v>
      </c>
      <c r="K61" s="381">
        <v>3</v>
      </c>
      <c r="L61" s="381"/>
      <c r="M61" s="381"/>
      <c r="N61" s="381"/>
      <c r="O61" s="381"/>
      <c r="P61" s="381"/>
      <c r="Q61" s="382">
        <f>SUM(E61:P61)</f>
        <v>6</v>
      </c>
      <c r="R61" s="139"/>
    </row>
    <row r="62" spans="2:18" s="1" customFormat="1" ht="20.25" customHeight="1">
      <c r="B62" s="138"/>
      <c r="C62" s="408"/>
      <c r="D62" s="85" t="s">
        <v>126</v>
      </c>
      <c r="E62" s="380">
        <v>0</v>
      </c>
      <c r="F62" s="380">
        <v>0</v>
      </c>
      <c r="G62" s="380">
        <v>0</v>
      </c>
      <c r="H62" s="381">
        <v>0</v>
      </c>
      <c r="I62" s="381">
        <v>0</v>
      </c>
      <c r="J62" s="381">
        <v>1</v>
      </c>
      <c r="K62" s="381"/>
      <c r="L62" s="381"/>
      <c r="M62" s="381"/>
      <c r="N62" s="381"/>
      <c r="O62" s="381"/>
      <c r="P62" s="381"/>
      <c r="Q62" s="382">
        <f>SUM(E62:P62)</f>
        <v>1</v>
      </c>
      <c r="R62" s="139"/>
    </row>
    <row r="63" spans="2:18" s="1" customFormat="1" ht="20.25" customHeight="1">
      <c r="B63" s="138"/>
      <c r="C63" s="408"/>
      <c r="D63" s="85" t="s">
        <v>122</v>
      </c>
      <c r="E63" s="374" t="str">
        <f>IF(E61=0,"",E62/E61)</f>
        <v/>
      </c>
      <c r="F63" s="374" t="str">
        <f t="shared" ref="F63:Q63" si="89">IF(F61=0,"",F62/F61)</f>
        <v/>
      </c>
      <c r="G63" s="374" t="str">
        <f t="shared" si="89"/>
        <v/>
      </c>
      <c r="H63" s="374" t="str">
        <f t="shared" si="89"/>
        <v/>
      </c>
      <c r="I63" s="374" t="str">
        <f>IF(I61=0,"",I62/I61)</f>
        <v/>
      </c>
      <c r="J63" s="374">
        <f t="shared" si="89"/>
        <v>0.33333333333333331</v>
      </c>
      <c r="K63" s="374">
        <f t="shared" si="89"/>
        <v>0</v>
      </c>
      <c r="L63" s="374" t="str">
        <f t="shared" si="89"/>
        <v/>
      </c>
      <c r="M63" s="374" t="str">
        <f t="shared" si="89"/>
        <v/>
      </c>
      <c r="N63" s="374" t="str">
        <f t="shared" si="89"/>
        <v/>
      </c>
      <c r="O63" s="374" t="str">
        <f t="shared" si="89"/>
        <v/>
      </c>
      <c r="P63" s="374" t="str">
        <f t="shared" si="89"/>
        <v/>
      </c>
      <c r="Q63" s="375">
        <f t="shared" si="89"/>
        <v>0.16666666666666666</v>
      </c>
      <c r="R63" s="139"/>
    </row>
    <row r="64" spans="2:18" s="1" customFormat="1" ht="20.25" customHeight="1">
      <c r="B64" s="138"/>
      <c r="C64" s="408"/>
      <c r="D64" s="85" t="s">
        <v>123</v>
      </c>
      <c r="E64" s="112">
        <v>0</v>
      </c>
      <c r="F64" s="112">
        <v>0</v>
      </c>
      <c r="G64" s="112">
        <v>0</v>
      </c>
      <c r="H64" s="379">
        <v>0</v>
      </c>
      <c r="I64" s="379">
        <v>0</v>
      </c>
      <c r="J64" s="379">
        <v>5399.26</v>
      </c>
      <c r="K64" s="379"/>
      <c r="L64" s="379"/>
      <c r="M64" s="379"/>
      <c r="N64" s="379"/>
      <c r="O64" s="379"/>
      <c r="P64" s="379"/>
      <c r="Q64" s="118">
        <f t="shared" si="65"/>
        <v>5399.26</v>
      </c>
      <c r="R64" s="139"/>
    </row>
    <row r="65" spans="2:18" s="1" customFormat="1" ht="20.25" customHeight="1">
      <c r="B65" s="138"/>
      <c r="C65" s="408"/>
      <c r="D65" s="85" t="s">
        <v>124</v>
      </c>
      <c r="E65" s="362">
        <v>0</v>
      </c>
      <c r="F65" s="372">
        <v>0</v>
      </c>
      <c r="G65" s="372">
        <v>0</v>
      </c>
      <c r="H65" s="372">
        <v>0</v>
      </c>
      <c r="I65" s="372">
        <v>0</v>
      </c>
      <c r="J65" s="372">
        <v>1</v>
      </c>
      <c r="K65" s="372"/>
      <c r="L65" s="372"/>
      <c r="M65" s="372"/>
      <c r="N65" s="372"/>
      <c r="O65" s="372"/>
      <c r="P65" s="372"/>
      <c r="Q65" s="118">
        <f>IF(SUM(E65:P65)=0,"",AVERAGE(E65:P65))</f>
        <v>0.16666666666666666</v>
      </c>
      <c r="R65" s="139"/>
    </row>
    <row r="66" spans="2:18" s="1" customFormat="1" ht="20.25" customHeight="1">
      <c r="B66" s="138"/>
      <c r="C66" s="408"/>
      <c r="D66" s="104" t="s">
        <v>114</v>
      </c>
      <c r="E66" s="364">
        <v>0</v>
      </c>
      <c r="F66" s="365">
        <v>0</v>
      </c>
      <c r="G66" s="365">
        <v>0</v>
      </c>
      <c r="H66" s="365">
        <v>0</v>
      </c>
      <c r="I66" s="365">
        <v>0</v>
      </c>
      <c r="J66" s="365">
        <v>1</v>
      </c>
      <c r="K66" s="365"/>
      <c r="L66" s="365"/>
      <c r="M66" s="365"/>
      <c r="N66" s="365"/>
      <c r="O66" s="365"/>
      <c r="P66" s="365"/>
      <c r="Q66" s="361">
        <f>IF(SUM(E66:P66)=0,"",AVERAGE(E66:P66))</f>
        <v>0.16666666666666666</v>
      </c>
      <c r="R66" s="139"/>
    </row>
    <row r="67" spans="2:18" s="1" customFormat="1" ht="20.25" customHeight="1">
      <c r="B67" s="138"/>
      <c r="C67" s="415" t="s">
        <v>132</v>
      </c>
      <c r="D67" s="113" t="s">
        <v>120</v>
      </c>
      <c r="E67" s="241">
        <v>0</v>
      </c>
      <c r="F67" s="241">
        <v>0</v>
      </c>
      <c r="G67" s="241">
        <v>0</v>
      </c>
      <c r="H67" s="242">
        <v>0</v>
      </c>
      <c r="I67" s="242">
        <v>0</v>
      </c>
      <c r="J67" s="242">
        <v>0</v>
      </c>
      <c r="K67" s="242"/>
      <c r="L67" s="242"/>
      <c r="M67" s="242"/>
      <c r="N67" s="242"/>
      <c r="O67" s="242"/>
      <c r="P67" s="244"/>
      <c r="Q67" s="143">
        <f>SUM(E67:P67)</f>
        <v>0</v>
      </c>
      <c r="R67" s="139"/>
    </row>
    <row r="68" spans="2:18" s="1" customFormat="1" ht="20.25" customHeight="1">
      <c r="B68" s="138"/>
      <c r="C68" s="415"/>
      <c r="D68" s="86" t="s">
        <v>121</v>
      </c>
      <c r="E68" s="114">
        <v>0</v>
      </c>
      <c r="F68" s="114">
        <v>0</v>
      </c>
      <c r="G68" s="114">
        <v>3776.04</v>
      </c>
      <c r="H68" s="243">
        <v>0</v>
      </c>
      <c r="I68" s="243">
        <v>3588</v>
      </c>
      <c r="J68" s="243">
        <v>2340</v>
      </c>
      <c r="K68" s="243"/>
      <c r="L68" s="243"/>
      <c r="M68" s="243"/>
      <c r="N68" s="243"/>
      <c r="O68" s="243"/>
      <c r="P68" s="245"/>
      <c r="Q68" s="120">
        <f t="shared" si="65"/>
        <v>9704.0400000000009</v>
      </c>
      <c r="R68" s="139"/>
    </row>
    <row r="69" spans="2:18" s="1" customFormat="1" ht="20.25" customHeight="1">
      <c r="B69" s="138"/>
      <c r="C69" s="415"/>
      <c r="D69" s="86" t="s">
        <v>122</v>
      </c>
      <c r="E69" s="376" t="str">
        <f>IF(E67=0,"",E68/E67)</f>
        <v/>
      </c>
      <c r="F69" s="376" t="str">
        <f t="shared" ref="F69:P69" si="90">IF(F67=0,"",F68/F67)</f>
        <v/>
      </c>
      <c r="G69" s="376" t="str">
        <f t="shared" si="90"/>
        <v/>
      </c>
      <c r="H69" s="376" t="str">
        <f t="shared" si="90"/>
        <v/>
      </c>
      <c r="I69" s="376" t="str">
        <f t="shared" si="90"/>
        <v/>
      </c>
      <c r="J69" s="376" t="str">
        <f t="shared" si="90"/>
        <v/>
      </c>
      <c r="K69" s="376" t="str">
        <f t="shared" si="90"/>
        <v/>
      </c>
      <c r="L69" s="376" t="str">
        <f t="shared" si="90"/>
        <v/>
      </c>
      <c r="M69" s="376" t="str">
        <f t="shared" si="90"/>
        <v/>
      </c>
      <c r="N69" s="376" t="str">
        <f t="shared" si="90"/>
        <v/>
      </c>
      <c r="O69" s="376" t="str">
        <f t="shared" si="90"/>
        <v/>
      </c>
      <c r="P69" s="376" t="str">
        <f t="shared" si="90"/>
        <v/>
      </c>
      <c r="Q69" s="383" t="str">
        <f>IF(Q67=0,"",Q68/Q67)</f>
        <v/>
      </c>
      <c r="R69" s="139"/>
    </row>
    <row r="70" spans="2:18" s="1" customFormat="1" ht="20.25" customHeight="1">
      <c r="B70" s="138"/>
      <c r="C70" s="415"/>
      <c r="D70" s="86" t="s">
        <v>123</v>
      </c>
      <c r="E70" s="114">
        <v>0</v>
      </c>
      <c r="F70" s="114">
        <v>0</v>
      </c>
      <c r="G70" s="114">
        <v>3776.04</v>
      </c>
      <c r="H70" s="243">
        <v>0</v>
      </c>
      <c r="I70" s="243">
        <v>3588</v>
      </c>
      <c r="J70" s="243">
        <v>2340</v>
      </c>
      <c r="K70" s="243"/>
      <c r="L70" s="243"/>
      <c r="M70" s="243"/>
      <c r="N70" s="243"/>
      <c r="O70" s="243"/>
      <c r="P70" s="245"/>
      <c r="Q70" s="120">
        <f t="shared" si="77"/>
        <v>9704.0400000000009</v>
      </c>
      <c r="R70" s="139"/>
    </row>
    <row r="71" spans="2:18" s="1" customFormat="1" ht="20.25" customHeight="1">
      <c r="B71" s="138"/>
      <c r="C71" s="415"/>
      <c r="D71" s="86" t="s">
        <v>124</v>
      </c>
      <c r="E71" s="373"/>
      <c r="F71" s="373"/>
      <c r="G71" s="373">
        <v>1</v>
      </c>
      <c r="H71" s="373">
        <v>1</v>
      </c>
      <c r="I71" s="373">
        <v>1</v>
      </c>
      <c r="J71" s="373">
        <v>1</v>
      </c>
      <c r="K71" s="373"/>
      <c r="L71" s="373"/>
      <c r="M71" s="373"/>
      <c r="N71" s="373"/>
      <c r="O71" s="373"/>
      <c r="P71" s="373"/>
      <c r="Q71" s="120">
        <f>IF(SUM(E71:P71)=0,"",AVERAGE(E71:P71))</f>
        <v>1</v>
      </c>
      <c r="R71" s="139"/>
    </row>
    <row r="72" spans="2:18" s="1" customFormat="1" ht="20.25" customHeight="1">
      <c r="B72" s="138"/>
      <c r="C72" s="415"/>
      <c r="D72" s="88" t="s">
        <v>114</v>
      </c>
      <c r="E72" s="367"/>
      <c r="F72" s="368"/>
      <c r="G72" s="368">
        <v>1</v>
      </c>
      <c r="H72" s="368">
        <v>0</v>
      </c>
      <c r="I72" s="368">
        <v>1</v>
      </c>
      <c r="J72" s="368">
        <v>1</v>
      </c>
      <c r="K72" s="368"/>
      <c r="L72" s="368"/>
      <c r="M72" s="368"/>
      <c r="N72" s="368"/>
      <c r="O72" s="368"/>
      <c r="P72" s="368"/>
      <c r="Q72" s="239">
        <f>IF(SUM(E72:P72)=0,"",AVERAGE(E72:P72))</f>
        <v>0.75</v>
      </c>
      <c r="R72" s="139"/>
    </row>
    <row r="73" spans="2:18" s="1" customFormat="1" ht="20.25" customHeight="1">
      <c r="B73" s="138"/>
      <c r="C73" s="408" t="s">
        <v>133</v>
      </c>
      <c r="D73" s="360" t="s">
        <v>120</v>
      </c>
      <c r="E73" s="377">
        <v>0</v>
      </c>
      <c r="F73" s="377">
        <v>0</v>
      </c>
      <c r="G73" s="377">
        <v>0</v>
      </c>
      <c r="H73" s="377">
        <v>0</v>
      </c>
      <c r="I73" s="377">
        <v>0</v>
      </c>
      <c r="J73" s="377">
        <v>0</v>
      </c>
      <c r="K73" s="377"/>
      <c r="L73" s="377"/>
      <c r="M73" s="377"/>
      <c r="N73" s="377"/>
      <c r="O73" s="377"/>
      <c r="P73" s="377"/>
      <c r="Q73" s="384">
        <f t="shared" ref="Q73:Q74" si="91">SUM(E73:P73)</f>
        <v>0</v>
      </c>
      <c r="R73" s="139"/>
    </row>
    <row r="74" spans="2:18" s="1" customFormat="1" ht="20.25" customHeight="1">
      <c r="B74" s="138"/>
      <c r="C74" s="408"/>
      <c r="D74" s="85" t="s">
        <v>121</v>
      </c>
      <c r="E74" s="112">
        <v>0</v>
      </c>
      <c r="F74" s="112">
        <v>0</v>
      </c>
      <c r="G74" s="112">
        <v>0</v>
      </c>
      <c r="H74" s="112">
        <v>0</v>
      </c>
      <c r="I74" s="112">
        <v>0</v>
      </c>
      <c r="J74" s="112">
        <v>0</v>
      </c>
      <c r="K74" s="112"/>
      <c r="L74" s="112"/>
      <c r="M74" s="112"/>
      <c r="N74" s="112"/>
      <c r="O74" s="112"/>
      <c r="P74" s="112"/>
      <c r="Q74" s="118">
        <f t="shared" si="91"/>
        <v>0</v>
      </c>
      <c r="R74" s="139"/>
    </row>
    <row r="75" spans="2:18" s="1" customFormat="1" ht="20.25" customHeight="1">
      <c r="B75" s="138"/>
      <c r="C75" s="408"/>
      <c r="D75" s="85" t="s">
        <v>122</v>
      </c>
      <c r="E75" s="374" t="str">
        <f>IF(E73=0,"",E74/E73)</f>
        <v/>
      </c>
      <c r="F75" s="374" t="str">
        <f t="shared" ref="F75:I75" si="92">IF(F73=0,"",F74/F73)</f>
        <v/>
      </c>
      <c r="G75" s="374" t="str">
        <f t="shared" si="92"/>
        <v/>
      </c>
      <c r="H75" s="374" t="str">
        <f>IF(H73=0,"",H74/H73)</f>
        <v/>
      </c>
      <c r="I75" s="374" t="str">
        <f t="shared" ref="I75:J75" si="93">IF(I73=0,"",I74/I73)</f>
        <v/>
      </c>
      <c r="J75" s="374" t="str">
        <f t="shared" si="93"/>
        <v/>
      </c>
      <c r="K75" s="374" t="str">
        <f t="shared" ref="K75" si="94">IF(K73=0,"",K74/K73)</f>
        <v/>
      </c>
      <c r="L75" s="374" t="str">
        <f t="shared" ref="L75:M75" si="95">IF(L73=0,"",L74/L73)</f>
        <v/>
      </c>
      <c r="M75" s="374" t="str">
        <f t="shared" si="95"/>
        <v/>
      </c>
      <c r="N75" s="374" t="str">
        <f t="shared" ref="N75" si="96">IF(N73=0,"",N74/N73)</f>
        <v/>
      </c>
      <c r="O75" s="374" t="str">
        <f t="shared" ref="O75" si="97">IF(O73=0,"",O74/O73)</f>
        <v/>
      </c>
      <c r="P75" s="374" t="str">
        <f t="shared" ref="P75" si="98">IF(P73=0,"",P74/P73)</f>
        <v/>
      </c>
      <c r="Q75" s="375" t="str">
        <f>IF(Q73=0,"",Q74/Q73)</f>
        <v/>
      </c>
      <c r="R75" s="139"/>
    </row>
    <row r="76" spans="2:18" s="1" customFormat="1" ht="20.25" customHeight="1">
      <c r="B76" s="138"/>
      <c r="C76" s="408"/>
      <c r="D76" s="85" t="s">
        <v>123</v>
      </c>
      <c r="E76" s="112">
        <v>0</v>
      </c>
      <c r="F76" s="112">
        <v>0</v>
      </c>
      <c r="G76" s="112">
        <v>0</v>
      </c>
      <c r="H76" s="112">
        <v>0</v>
      </c>
      <c r="I76" s="112">
        <v>0</v>
      </c>
      <c r="J76" s="112">
        <v>0</v>
      </c>
      <c r="K76" s="112"/>
      <c r="L76" s="112"/>
      <c r="M76" s="112"/>
      <c r="N76" s="112"/>
      <c r="O76" s="112"/>
      <c r="P76" s="112"/>
      <c r="Q76" s="118">
        <f t="shared" ref="Q76:Q80" si="99">SUM(E76:P76)</f>
        <v>0</v>
      </c>
      <c r="R76" s="139"/>
    </row>
    <row r="77" spans="2:18" s="1" customFormat="1" ht="20.25" customHeight="1">
      <c r="B77" s="138"/>
      <c r="C77" s="408"/>
      <c r="D77" s="85" t="s">
        <v>124</v>
      </c>
      <c r="E77" s="36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118" t="str">
        <f>IF(SUM(E77:P77)=0,"",AVERAGE(E77:P77))</f>
        <v/>
      </c>
      <c r="R77" s="139"/>
    </row>
    <row r="78" spans="2:18" s="1" customFormat="1" ht="20.25" customHeight="1">
      <c r="B78" s="138"/>
      <c r="C78" s="408"/>
      <c r="D78" s="104" t="s">
        <v>114</v>
      </c>
      <c r="E78" s="364"/>
      <c r="F78" s="365"/>
      <c r="G78" s="365"/>
      <c r="H78" s="365"/>
      <c r="I78" s="365"/>
      <c r="J78" s="365"/>
      <c r="K78" s="365"/>
      <c r="L78" s="365"/>
      <c r="M78" s="365"/>
      <c r="N78" s="365"/>
      <c r="O78" s="365"/>
      <c r="P78" s="365"/>
      <c r="Q78" s="361" t="str">
        <f>IF(SUM(E78:P78)=0,"",AVERAGE(E78:P78))</f>
        <v/>
      </c>
      <c r="R78" s="139"/>
    </row>
    <row r="79" spans="2:18" s="1" customFormat="1" ht="20.25" customHeight="1">
      <c r="B79" s="138"/>
      <c r="C79" s="419" t="s">
        <v>134</v>
      </c>
      <c r="D79" s="240" t="s">
        <v>120</v>
      </c>
      <c r="E79" s="241"/>
      <c r="F79" s="241"/>
      <c r="G79" s="241"/>
      <c r="H79" s="268"/>
      <c r="I79" s="268"/>
      <c r="J79" s="268">
        <v>15000</v>
      </c>
      <c r="K79" s="268">
        <v>20000</v>
      </c>
      <c r="L79" s="268"/>
      <c r="M79" s="268"/>
      <c r="N79" s="268"/>
      <c r="O79" s="268"/>
      <c r="P79" s="269"/>
      <c r="Q79" s="272">
        <f t="shared" si="99"/>
        <v>35000</v>
      </c>
      <c r="R79" s="139"/>
    </row>
    <row r="80" spans="2:18" s="1" customFormat="1" ht="20.25" customHeight="1">
      <c r="B80" s="138"/>
      <c r="C80" s="419"/>
      <c r="D80" s="86" t="s">
        <v>121</v>
      </c>
      <c r="E80" s="114"/>
      <c r="F80" s="114"/>
      <c r="G80" s="114"/>
      <c r="H80" s="243"/>
      <c r="I80" s="243"/>
      <c r="J80" s="243">
        <v>0</v>
      </c>
      <c r="K80" s="243"/>
      <c r="L80" s="243"/>
      <c r="M80" s="243"/>
      <c r="N80" s="243"/>
      <c r="O80" s="243"/>
      <c r="P80" s="245"/>
      <c r="Q80" s="120">
        <f t="shared" si="99"/>
        <v>0</v>
      </c>
      <c r="R80" s="139"/>
    </row>
    <row r="81" spans="2:18" s="1" customFormat="1" ht="20.25" customHeight="1">
      <c r="B81" s="138"/>
      <c r="C81" s="419"/>
      <c r="D81" s="86" t="s">
        <v>122</v>
      </c>
      <c r="E81" s="376" t="str">
        <f>IF(E79=0,"",E80/E79)</f>
        <v/>
      </c>
      <c r="F81" s="376" t="str">
        <f t="shared" ref="F81" si="100">IF(F79=0,"",F80/F79)</f>
        <v/>
      </c>
      <c r="G81" s="376" t="str">
        <f t="shared" ref="G81" si="101">IF(G79=0,"",G80/G79)</f>
        <v/>
      </c>
      <c r="H81" s="376" t="str">
        <f t="shared" ref="H81" si="102">IF(H79=0,"",H80/H79)</f>
        <v/>
      </c>
      <c r="I81" s="376" t="str">
        <f t="shared" ref="I81" si="103">IF(I79=0,"",I80/I79)</f>
        <v/>
      </c>
      <c r="J81" s="376">
        <f t="shared" ref="J81" si="104">IF(J79=0,"",J80/J79)</f>
        <v>0</v>
      </c>
      <c r="K81" s="376">
        <f t="shared" ref="K81" si="105">IF(K79=0,"",K80/K79)</f>
        <v>0</v>
      </c>
      <c r="L81" s="376" t="str">
        <f t="shared" ref="L81" si="106">IF(L79=0,"",L80/L79)</f>
        <v/>
      </c>
      <c r="M81" s="376" t="str">
        <f t="shared" ref="M81" si="107">IF(M79=0,"",M80/M79)</f>
        <v/>
      </c>
      <c r="N81" s="376" t="str">
        <f t="shared" ref="N81" si="108">IF(N79=0,"",N80/N79)</f>
        <v/>
      </c>
      <c r="O81" s="376" t="str">
        <f t="shared" ref="O81" si="109">IF(O79=0,"",O80/O79)</f>
        <v/>
      </c>
      <c r="P81" s="376" t="str">
        <f t="shared" ref="P81" si="110">IF(P79=0,"",P80/P79)</f>
        <v/>
      </c>
      <c r="Q81" s="383">
        <f>IF(Q79=0,"",Q80/Q79)</f>
        <v>0</v>
      </c>
      <c r="R81" s="139"/>
    </row>
    <row r="82" spans="2:18" s="1" customFormat="1" ht="20.25" customHeight="1">
      <c r="B82" s="138"/>
      <c r="C82" s="419"/>
      <c r="D82" s="86" t="s">
        <v>125</v>
      </c>
      <c r="E82" s="385"/>
      <c r="F82" s="385"/>
      <c r="G82" s="385"/>
      <c r="H82" s="386"/>
      <c r="I82" s="386"/>
      <c r="J82" s="386">
        <v>6</v>
      </c>
      <c r="K82" s="386">
        <v>6</v>
      </c>
      <c r="L82" s="386"/>
      <c r="M82" s="386"/>
      <c r="N82" s="386"/>
      <c r="O82" s="386"/>
      <c r="P82" s="386"/>
      <c r="Q82" s="387">
        <f>SUM(E82:P82)</f>
        <v>12</v>
      </c>
      <c r="R82" s="139"/>
    </row>
    <row r="83" spans="2:18" s="1" customFormat="1" ht="20.25" customHeight="1">
      <c r="B83" s="138"/>
      <c r="C83" s="419"/>
      <c r="D83" s="86" t="s">
        <v>126</v>
      </c>
      <c r="E83" s="385"/>
      <c r="F83" s="385"/>
      <c r="G83" s="385"/>
      <c r="H83" s="386"/>
      <c r="I83" s="386"/>
      <c r="J83" s="386">
        <v>0</v>
      </c>
      <c r="K83" s="386"/>
      <c r="L83" s="386"/>
      <c r="M83" s="386"/>
      <c r="N83" s="386"/>
      <c r="O83" s="386"/>
      <c r="P83" s="386"/>
      <c r="Q83" s="387">
        <f>SUM(E83:P83)</f>
        <v>0</v>
      </c>
      <c r="R83" s="139"/>
    </row>
    <row r="84" spans="2:18" s="1" customFormat="1" ht="20.25" customHeight="1">
      <c r="B84" s="138"/>
      <c r="C84" s="419"/>
      <c r="D84" s="86" t="s">
        <v>122</v>
      </c>
      <c r="E84" s="376" t="str">
        <f>IF(E82=0,"",E83/E82)</f>
        <v/>
      </c>
      <c r="F84" s="376" t="str">
        <f t="shared" ref="F84:Q84" si="111">IF(F82=0,"",F83/F82)</f>
        <v/>
      </c>
      <c r="G84" s="376" t="str">
        <f t="shared" si="111"/>
        <v/>
      </c>
      <c r="H84" s="376" t="str">
        <f t="shared" si="111"/>
        <v/>
      </c>
      <c r="I84" s="376" t="str">
        <f t="shared" si="111"/>
        <v/>
      </c>
      <c r="J84" s="376">
        <f t="shared" si="111"/>
        <v>0</v>
      </c>
      <c r="K84" s="376">
        <f t="shared" si="111"/>
        <v>0</v>
      </c>
      <c r="L84" s="376" t="str">
        <f t="shared" si="111"/>
        <v/>
      </c>
      <c r="M84" s="376" t="str">
        <f t="shared" si="111"/>
        <v/>
      </c>
      <c r="N84" s="376" t="str">
        <f t="shared" si="111"/>
        <v/>
      </c>
      <c r="O84" s="376" t="str">
        <f t="shared" si="111"/>
        <v/>
      </c>
      <c r="P84" s="376" t="str">
        <f t="shared" si="111"/>
        <v/>
      </c>
      <c r="Q84" s="383">
        <f t="shared" si="111"/>
        <v>0</v>
      </c>
      <c r="R84" s="139"/>
    </row>
    <row r="85" spans="2:18" s="1" customFormat="1" ht="20.25" customHeight="1">
      <c r="B85" s="138"/>
      <c r="C85" s="419"/>
      <c r="D85" s="86" t="s">
        <v>123</v>
      </c>
      <c r="E85" s="114"/>
      <c r="F85" s="114"/>
      <c r="G85" s="114"/>
      <c r="H85" s="243"/>
      <c r="I85" s="243"/>
      <c r="J85" s="243">
        <v>0</v>
      </c>
      <c r="K85" s="243"/>
      <c r="L85" s="243"/>
      <c r="M85" s="243"/>
      <c r="N85" s="243"/>
      <c r="O85" s="243"/>
      <c r="P85" s="245"/>
      <c r="Q85" s="120">
        <f t="shared" ref="Q85" si="112">SUM(E85:P85)</f>
        <v>0</v>
      </c>
      <c r="R85" s="139"/>
    </row>
    <row r="86" spans="2:18" s="1" customFormat="1" ht="20.25" customHeight="1">
      <c r="B86" s="138"/>
      <c r="C86" s="419"/>
      <c r="D86" s="86" t="s">
        <v>124</v>
      </c>
      <c r="E86" s="366"/>
      <c r="F86" s="373"/>
      <c r="G86" s="373"/>
      <c r="H86" s="373"/>
      <c r="I86" s="373"/>
      <c r="J86" s="373"/>
      <c r="K86" s="373"/>
      <c r="L86" s="373"/>
      <c r="M86" s="373"/>
      <c r="N86" s="373"/>
      <c r="O86" s="373"/>
      <c r="P86" s="373"/>
      <c r="Q86" s="120" t="str">
        <f>IF(SUM(E86:P86)=0,"",AVERAGE(E86:P86))</f>
        <v/>
      </c>
      <c r="R86" s="139"/>
    </row>
    <row r="87" spans="2:18" s="1" customFormat="1" ht="20.25" customHeight="1">
      <c r="B87" s="138"/>
      <c r="C87" s="420"/>
      <c r="D87" s="148" t="s">
        <v>114</v>
      </c>
      <c r="E87" s="388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273" t="str">
        <f>IF(SUM(E87:P87)=0,"",AVERAGE(E87:P87))</f>
        <v/>
      </c>
      <c r="R87" s="139"/>
    </row>
    <row r="88" spans="2:18" ht="9.75" customHeight="1">
      <c r="B88" s="98"/>
      <c r="C88" s="586"/>
      <c r="D88" s="587"/>
      <c r="E88" s="587"/>
      <c r="F88" s="587"/>
      <c r="G88" s="587"/>
      <c r="H88" s="587"/>
      <c r="I88" s="587"/>
      <c r="J88" s="587"/>
      <c r="K88" s="587"/>
      <c r="L88" s="587"/>
      <c r="M88" s="587"/>
      <c r="N88" s="587"/>
      <c r="O88" s="587"/>
      <c r="P88" s="587"/>
      <c r="Q88" s="587"/>
      <c r="R88" s="99"/>
    </row>
    <row r="89" spans="2:18" ht="9.75" customHeight="1"/>
  </sheetData>
  <mergeCells count="24">
    <mergeCell ref="C58:C66"/>
    <mergeCell ref="C67:C72"/>
    <mergeCell ref="C73:C78"/>
    <mergeCell ref="C88:Q88"/>
    <mergeCell ref="C3:Q3"/>
    <mergeCell ref="C10:D10"/>
    <mergeCell ref="C79:C87"/>
    <mergeCell ref="C8:D8"/>
    <mergeCell ref="C9:D9"/>
    <mergeCell ref="C13:Q13"/>
    <mergeCell ref="C14:Q14"/>
    <mergeCell ref="C15:D15"/>
    <mergeCell ref="C11:D11"/>
    <mergeCell ref="C12:D12"/>
    <mergeCell ref="C4:Q4"/>
    <mergeCell ref="C5:Q5"/>
    <mergeCell ref="C40:C45"/>
    <mergeCell ref="C46:C51"/>
    <mergeCell ref="C52:C57"/>
    <mergeCell ref="C6:D6"/>
    <mergeCell ref="C7:D7"/>
    <mergeCell ref="C16:C21"/>
    <mergeCell ref="C22:C30"/>
    <mergeCell ref="C31:C39"/>
  </mergeCells>
  <conditionalFormatting sqref="E18:Q18">
    <cfRule type="cellIs" dxfId="32" priority="7" operator="equal">
      <formula>0</formula>
    </cfRule>
    <cfRule type="cellIs" dxfId="31" priority="8" operator="lessThan">
      <formula>0.95</formula>
    </cfRule>
  </conditionalFormatting>
  <conditionalFormatting sqref="E24:Q24">
    <cfRule type="cellIs" dxfId="30" priority="9" operator="equal">
      <formula>0</formula>
    </cfRule>
    <cfRule type="cellIs" dxfId="29" priority="10" operator="lessThan">
      <formula>0.95</formula>
    </cfRule>
  </conditionalFormatting>
  <conditionalFormatting sqref="Q27">
    <cfRule type="cellIs" dxfId="28" priority="33" operator="equal">
      <formula>0</formula>
    </cfRule>
    <cfRule type="cellIs" dxfId="27" priority="34" operator="lessThan">
      <formula>0.95</formula>
    </cfRule>
  </conditionalFormatting>
  <conditionalFormatting sqref="E33:Q33">
    <cfRule type="cellIs" dxfId="26" priority="11" operator="equal">
      <formula>0</formula>
    </cfRule>
    <cfRule type="cellIs" dxfId="25" priority="12" operator="lessThan">
      <formula>0.95</formula>
    </cfRule>
  </conditionalFormatting>
  <conditionalFormatting sqref="Q36">
    <cfRule type="cellIs" dxfId="24" priority="51" operator="equal">
      <formula>0</formula>
    </cfRule>
    <cfRule type="cellIs" dxfId="23" priority="52" operator="lessThan">
      <formula>0.95</formula>
    </cfRule>
  </conditionalFormatting>
  <conditionalFormatting sqref="E42:Q42">
    <cfRule type="cellIs" dxfId="22" priority="13" operator="equal">
      <formula>0</formula>
    </cfRule>
    <cfRule type="cellIs" dxfId="21" priority="14" operator="lessThan">
      <formula>0.95</formula>
    </cfRule>
  </conditionalFormatting>
  <conditionalFormatting sqref="E48:Q48">
    <cfRule type="cellIs" dxfId="20" priority="71" operator="equal">
      <formula>0</formula>
    </cfRule>
    <cfRule type="cellIs" dxfId="19" priority="73" operator="lessThan">
      <formula>0.95</formula>
    </cfRule>
  </conditionalFormatting>
  <conditionalFormatting sqref="E54:Q54">
    <cfRule type="cellIs" dxfId="18" priority="15" operator="equal">
      <formula>0</formula>
    </cfRule>
    <cfRule type="cellIs" dxfId="17" priority="16" operator="lessThan">
      <formula>0.95</formula>
    </cfRule>
  </conditionalFormatting>
  <conditionalFormatting sqref="E60:Q60">
    <cfRule type="cellIs" dxfId="16" priority="17" operator="equal">
      <formula>0</formula>
    </cfRule>
    <cfRule type="cellIs" dxfId="15" priority="18" operator="lessThan">
      <formula>0.95</formula>
    </cfRule>
  </conditionalFormatting>
  <conditionalFormatting sqref="E63:Q63">
    <cfRule type="cellIs" dxfId="14" priority="31" operator="equal">
      <formula>0</formula>
    </cfRule>
    <cfRule type="cellIs" dxfId="13" priority="32" operator="lessThan">
      <formula>0.95</formula>
    </cfRule>
  </conditionalFormatting>
  <conditionalFormatting sqref="E69:Q69">
    <cfRule type="cellIs" dxfId="12" priority="23" operator="equal">
      <formula>0</formula>
    </cfRule>
    <cfRule type="cellIs" dxfId="11" priority="24" operator="lessThan">
      <formula>0.95</formula>
    </cfRule>
  </conditionalFormatting>
  <conditionalFormatting sqref="E75:Q75">
    <cfRule type="cellIs" dxfId="10" priority="45" operator="equal">
      <formula>0</formula>
    </cfRule>
    <cfRule type="cellIs" dxfId="9" priority="46" operator="lessThan">
      <formula>0.95</formula>
    </cfRule>
  </conditionalFormatting>
  <conditionalFormatting sqref="E81:Q81">
    <cfRule type="cellIs" dxfId="8" priority="19" operator="equal">
      <formula>0</formula>
    </cfRule>
    <cfRule type="cellIs" dxfId="7" priority="20" operator="lessThan">
      <formula>0.95</formula>
    </cfRule>
  </conditionalFormatting>
  <conditionalFormatting sqref="E84:Q84">
    <cfRule type="cellIs" dxfId="6" priority="27" operator="equal">
      <formula>0</formula>
    </cfRule>
    <cfRule type="cellIs" dxfId="5" priority="28" operator="lessThan">
      <formula>0.95</formula>
    </cfRule>
  </conditionalFormatting>
  <conditionalFormatting sqref="E27:P27">
    <cfRule type="cellIs" dxfId="4" priority="3" operator="equal">
      <formula>0</formula>
    </cfRule>
    <cfRule type="cellIs" dxfId="3" priority="4" operator="lessThan">
      <formula>0.95</formula>
    </cfRule>
  </conditionalFormatting>
  <conditionalFormatting sqref="E36:P36">
    <cfRule type="cellIs" dxfId="2" priority="1" operator="equal">
      <formula>0</formula>
    </cfRule>
    <cfRule type="cellIs" dxfId="1" priority="2" operator="lessThan">
      <formula>0.95</formula>
    </cfRule>
  </conditionalFormatting>
  <pageMargins left="0.511811024" right="0.511811024" top="0.78740157499999996" bottom="0.78740157499999996" header="0" footer="0"/>
  <pageSetup orientation="landscape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14E4-37C0-47E5-B2F7-359F258DA558}">
  <sheetPr>
    <pageSetUpPr fitToPage="1"/>
  </sheetPr>
  <dimension ref="B1:R35"/>
  <sheetViews>
    <sheetView showGridLines="0" zoomScaleNormal="100" workbookViewId="0">
      <selection activeCell="G11" sqref="G11"/>
    </sheetView>
  </sheetViews>
  <sheetFormatPr defaultColWidth="17.5703125" defaultRowHeight="14.45"/>
  <cols>
    <col min="1" max="1" width="1.5703125" style="1" customWidth="1"/>
    <col min="2" max="2" width="20.42578125" style="1" customWidth="1"/>
    <col min="3" max="4" width="13.7109375" style="1" bestFit="1" customWidth="1"/>
    <col min="5" max="5" width="10.28515625" style="1" customWidth="1"/>
    <col min="6" max="6" width="13.7109375" style="1" bestFit="1" customWidth="1"/>
    <col min="7" max="8" width="10.28515625" style="1" customWidth="1"/>
    <col min="9" max="9" width="13.7109375" style="1" bestFit="1" customWidth="1"/>
    <col min="10" max="11" width="12.140625" style="1" customWidth="1"/>
    <col min="12" max="13" width="1.5703125" style="1" customWidth="1"/>
    <col min="14" max="16" width="17.5703125" style="210" customWidth="1"/>
    <col min="17" max="17" width="1.5703125" style="210" customWidth="1"/>
    <col min="18" max="18" width="17.5703125" style="210"/>
    <col min="19" max="16384" width="17.5703125" style="1"/>
  </cols>
  <sheetData>
    <row r="1" spans="2:18" ht="8.25" customHeight="1"/>
    <row r="2" spans="2:18" ht="45" customHeight="1">
      <c r="B2" s="447" t="s">
        <v>135</v>
      </c>
      <c r="C2" s="548"/>
      <c r="D2" s="548"/>
      <c r="E2" s="548"/>
      <c r="F2" s="548"/>
      <c r="G2" s="548"/>
      <c r="H2" s="548"/>
      <c r="I2" s="448"/>
      <c r="J2" s="448"/>
      <c r="K2" s="449"/>
    </row>
    <row r="3" spans="2:18" s="2" customFormat="1" ht="27" customHeight="1">
      <c r="B3" s="549" t="s">
        <v>35</v>
      </c>
      <c r="C3" s="552" t="s">
        <v>136</v>
      </c>
      <c r="D3" s="552"/>
      <c r="E3" s="554"/>
      <c r="F3" s="552" t="s">
        <v>137</v>
      </c>
      <c r="G3" s="552"/>
      <c r="H3" s="554"/>
      <c r="I3" s="552" t="s">
        <v>138</v>
      </c>
      <c r="J3" s="552"/>
      <c r="K3" s="553"/>
      <c r="N3" s="210"/>
      <c r="O3" s="210"/>
      <c r="P3" s="210"/>
      <c r="Q3" s="211"/>
      <c r="R3" s="211"/>
    </row>
    <row r="4" spans="2:18" s="2" customFormat="1" ht="27" customHeight="1">
      <c r="B4" s="550"/>
      <c r="C4" s="555">
        <v>42100</v>
      </c>
      <c r="D4" s="556"/>
      <c r="E4" s="557"/>
      <c r="F4" s="555">
        <v>20000</v>
      </c>
      <c r="G4" s="556"/>
      <c r="H4" s="557"/>
      <c r="I4" s="555">
        <v>40000</v>
      </c>
      <c r="J4" s="556"/>
      <c r="K4" s="558"/>
      <c r="N4" s="210"/>
      <c r="O4" s="210"/>
      <c r="P4" s="210"/>
      <c r="Q4" s="211"/>
      <c r="R4" s="211"/>
    </row>
    <row r="5" spans="2:18" s="2" customFormat="1" ht="27" customHeight="1">
      <c r="B5" s="551"/>
      <c r="C5" s="277" t="s">
        <v>139</v>
      </c>
      <c r="D5" s="270" t="s">
        <v>34</v>
      </c>
      <c r="E5" s="271" t="s">
        <v>140</v>
      </c>
      <c r="F5" s="277" t="s">
        <v>139</v>
      </c>
      <c r="G5" s="270" t="s">
        <v>34</v>
      </c>
      <c r="H5" s="271" t="s">
        <v>140</v>
      </c>
      <c r="I5" s="277" t="s">
        <v>139</v>
      </c>
      <c r="J5" s="270" t="s">
        <v>34</v>
      </c>
      <c r="K5" s="278" t="s">
        <v>140</v>
      </c>
      <c r="Q5" s="211"/>
      <c r="R5" s="211"/>
    </row>
    <row r="6" spans="2:18" ht="23.1" customHeight="1">
      <c r="B6" s="280">
        <v>46023</v>
      </c>
      <c r="C6" s="279">
        <f>C4/12</f>
        <v>3508.3333333333335</v>
      </c>
      <c r="D6" s="287"/>
      <c r="E6" s="285" t="str">
        <f>IF(D6="","",D6/C6)</f>
        <v/>
      </c>
      <c r="F6" s="279">
        <f>$F$4/12</f>
        <v>1666.6666666666667</v>
      </c>
      <c r="G6" s="274"/>
      <c r="H6" s="286" t="str">
        <f>IF(G6="","",G6/F6)</f>
        <v/>
      </c>
      <c r="I6" s="279">
        <f>$I$4/12</f>
        <v>3333.3333333333335</v>
      </c>
      <c r="J6" s="275">
        <v>600</v>
      </c>
      <c r="K6" s="276">
        <f>IF(J6="","",J6/I6)</f>
        <v>0.18</v>
      </c>
    </row>
    <row r="7" spans="2:18" ht="23.1" customHeight="1">
      <c r="B7" s="280">
        <v>46055</v>
      </c>
      <c r="C7" s="279">
        <f>$C$4/12</f>
        <v>3508.3333333333335</v>
      </c>
      <c r="D7" s="287"/>
      <c r="E7" s="285" t="str">
        <f t="shared" ref="E7:E17" si="0">IF(D7="","",D7/C7)</f>
        <v/>
      </c>
      <c r="F7" s="279">
        <f>$F$4/12</f>
        <v>1666.6666666666667</v>
      </c>
      <c r="G7" s="274"/>
      <c r="H7" s="286" t="str">
        <f t="shared" ref="H7:H17" si="1">IF(G7="","",G7/F7)</f>
        <v/>
      </c>
      <c r="I7" s="279">
        <f>$I$4/12</f>
        <v>3333.3333333333335</v>
      </c>
      <c r="J7" s="275">
        <v>4197</v>
      </c>
      <c r="K7" s="276">
        <f t="shared" ref="K7:K17" si="2">IF(J7="","",J7/I7)</f>
        <v>1.2590999999999999</v>
      </c>
    </row>
    <row r="8" spans="2:18" ht="23.1" customHeight="1">
      <c r="B8" s="280">
        <v>46086</v>
      </c>
      <c r="C8" s="279">
        <f t="shared" ref="C8:C17" si="3">$C$4/12</f>
        <v>3508.3333333333335</v>
      </c>
      <c r="D8" s="287">
        <v>10000</v>
      </c>
      <c r="E8" s="285">
        <f t="shared" si="0"/>
        <v>2.8503562945368168</v>
      </c>
      <c r="F8" s="279">
        <f t="shared" ref="F8:F17" si="4">$F$4/12</f>
        <v>1666.6666666666667</v>
      </c>
      <c r="G8" s="274"/>
      <c r="H8" s="286" t="str">
        <f t="shared" si="1"/>
        <v/>
      </c>
      <c r="I8" s="279">
        <f t="shared" ref="I8:I17" si="5">$I$4/12</f>
        <v>3333.3333333333335</v>
      </c>
      <c r="J8" s="275">
        <v>4526</v>
      </c>
      <c r="K8" s="276">
        <f t="shared" si="2"/>
        <v>1.3577999999999999</v>
      </c>
    </row>
    <row r="9" spans="2:18" ht="23.1" customHeight="1">
      <c r="B9" s="280">
        <v>46117</v>
      </c>
      <c r="C9" s="279">
        <f t="shared" si="3"/>
        <v>3508.3333333333335</v>
      </c>
      <c r="D9" s="287"/>
      <c r="E9" s="285" t="str">
        <f t="shared" si="0"/>
        <v/>
      </c>
      <c r="F9" s="279">
        <f t="shared" si="4"/>
        <v>1666.6666666666667</v>
      </c>
      <c r="G9" s="274"/>
      <c r="H9" s="286" t="str">
        <f t="shared" si="1"/>
        <v/>
      </c>
      <c r="I9" s="279">
        <f t="shared" si="5"/>
        <v>3333.3333333333335</v>
      </c>
      <c r="J9" s="275"/>
      <c r="K9" s="276" t="str">
        <f t="shared" si="2"/>
        <v/>
      </c>
    </row>
    <row r="10" spans="2:18" ht="23.1" customHeight="1">
      <c r="B10" s="280">
        <v>46148</v>
      </c>
      <c r="C10" s="279">
        <f t="shared" si="3"/>
        <v>3508.3333333333335</v>
      </c>
      <c r="D10" s="287"/>
      <c r="E10" s="285" t="str">
        <f t="shared" si="0"/>
        <v/>
      </c>
      <c r="F10" s="279">
        <f t="shared" si="4"/>
        <v>1666.6666666666667</v>
      </c>
      <c r="G10" s="274"/>
      <c r="H10" s="286" t="str">
        <f t="shared" si="1"/>
        <v/>
      </c>
      <c r="I10" s="279">
        <f t="shared" si="5"/>
        <v>3333.3333333333335</v>
      </c>
      <c r="J10" s="275"/>
      <c r="K10" s="276" t="str">
        <f t="shared" si="2"/>
        <v/>
      </c>
    </row>
    <row r="11" spans="2:18" ht="23.1" customHeight="1">
      <c r="B11" s="280">
        <v>46179</v>
      </c>
      <c r="C11" s="279">
        <f t="shared" si="3"/>
        <v>3508.3333333333335</v>
      </c>
      <c r="D11" s="287"/>
      <c r="E11" s="285" t="str">
        <f t="shared" si="0"/>
        <v/>
      </c>
      <c r="F11" s="279">
        <f t="shared" si="4"/>
        <v>1666.6666666666667</v>
      </c>
      <c r="G11" s="274"/>
      <c r="H11" s="286" t="str">
        <f t="shared" si="1"/>
        <v/>
      </c>
      <c r="I11" s="279">
        <f t="shared" si="5"/>
        <v>3333.3333333333335</v>
      </c>
      <c r="J11" s="275"/>
      <c r="K11" s="276" t="str">
        <f t="shared" si="2"/>
        <v/>
      </c>
    </row>
    <row r="12" spans="2:18" ht="23.1" customHeight="1">
      <c r="B12" s="280">
        <v>46210</v>
      </c>
      <c r="C12" s="279">
        <f t="shared" si="3"/>
        <v>3508.3333333333335</v>
      </c>
      <c r="D12" s="287"/>
      <c r="E12" s="285" t="str">
        <f t="shared" si="0"/>
        <v/>
      </c>
      <c r="F12" s="279">
        <f t="shared" si="4"/>
        <v>1666.6666666666667</v>
      </c>
      <c r="G12" s="274"/>
      <c r="H12" s="286" t="str">
        <f t="shared" si="1"/>
        <v/>
      </c>
      <c r="I12" s="279">
        <f t="shared" si="5"/>
        <v>3333.3333333333335</v>
      </c>
      <c r="J12" s="275"/>
      <c r="K12" s="276" t="str">
        <f t="shared" si="2"/>
        <v/>
      </c>
    </row>
    <row r="13" spans="2:18" ht="23.1" customHeight="1">
      <c r="B13" s="280">
        <v>46241</v>
      </c>
      <c r="C13" s="279">
        <f t="shared" si="3"/>
        <v>3508.3333333333335</v>
      </c>
      <c r="D13" s="287"/>
      <c r="E13" s="285" t="str">
        <f t="shared" si="0"/>
        <v/>
      </c>
      <c r="F13" s="279">
        <f t="shared" si="4"/>
        <v>1666.6666666666667</v>
      </c>
      <c r="G13" s="274"/>
      <c r="H13" s="286" t="str">
        <f t="shared" si="1"/>
        <v/>
      </c>
      <c r="I13" s="279">
        <f t="shared" si="5"/>
        <v>3333.3333333333335</v>
      </c>
      <c r="J13" s="275"/>
      <c r="K13" s="276" t="str">
        <f t="shared" si="2"/>
        <v/>
      </c>
    </row>
    <row r="14" spans="2:18" ht="23.1" customHeight="1">
      <c r="B14" s="280">
        <v>46272</v>
      </c>
      <c r="C14" s="279">
        <f t="shared" si="3"/>
        <v>3508.3333333333335</v>
      </c>
      <c r="D14" s="287"/>
      <c r="E14" s="285" t="str">
        <f t="shared" si="0"/>
        <v/>
      </c>
      <c r="F14" s="279">
        <f t="shared" si="4"/>
        <v>1666.6666666666667</v>
      </c>
      <c r="G14" s="274"/>
      <c r="H14" s="286" t="str">
        <f t="shared" si="1"/>
        <v/>
      </c>
      <c r="I14" s="279">
        <f t="shared" si="5"/>
        <v>3333.3333333333335</v>
      </c>
      <c r="J14" s="275"/>
      <c r="K14" s="276" t="str">
        <f t="shared" si="2"/>
        <v/>
      </c>
    </row>
    <row r="15" spans="2:18" ht="23.1" customHeight="1">
      <c r="B15" s="280">
        <v>46303</v>
      </c>
      <c r="C15" s="279">
        <f t="shared" si="3"/>
        <v>3508.3333333333335</v>
      </c>
      <c r="D15" s="287"/>
      <c r="E15" s="285" t="str">
        <f t="shared" si="0"/>
        <v/>
      </c>
      <c r="F15" s="279">
        <f t="shared" si="4"/>
        <v>1666.6666666666667</v>
      </c>
      <c r="G15" s="274"/>
      <c r="H15" s="286" t="str">
        <f t="shared" si="1"/>
        <v/>
      </c>
      <c r="I15" s="279">
        <f t="shared" si="5"/>
        <v>3333.3333333333335</v>
      </c>
      <c r="J15" s="275"/>
      <c r="K15" s="276" t="str">
        <f t="shared" si="2"/>
        <v/>
      </c>
    </row>
    <row r="16" spans="2:18" ht="23.1" customHeight="1">
      <c r="B16" s="280">
        <v>46334</v>
      </c>
      <c r="C16" s="279">
        <f t="shared" si="3"/>
        <v>3508.3333333333335</v>
      </c>
      <c r="D16" s="287"/>
      <c r="E16" s="285" t="str">
        <f t="shared" si="0"/>
        <v/>
      </c>
      <c r="F16" s="279">
        <f t="shared" si="4"/>
        <v>1666.6666666666667</v>
      </c>
      <c r="G16" s="274"/>
      <c r="H16" s="286" t="str">
        <f t="shared" si="1"/>
        <v/>
      </c>
      <c r="I16" s="279">
        <f t="shared" si="5"/>
        <v>3333.3333333333335</v>
      </c>
      <c r="J16" s="275"/>
      <c r="K16" s="276" t="str">
        <f t="shared" si="2"/>
        <v/>
      </c>
    </row>
    <row r="17" spans="2:11" ht="23.1" customHeight="1">
      <c r="B17" s="281">
        <v>46364</v>
      </c>
      <c r="C17" s="279">
        <f t="shared" si="3"/>
        <v>3508.3333333333335</v>
      </c>
      <c r="D17" s="294"/>
      <c r="E17" s="292" t="str">
        <f t="shared" si="0"/>
        <v/>
      </c>
      <c r="F17" s="279">
        <f t="shared" si="4"/>
        <v>1666.6666666666667</v>
      </c>
      <c r="G17" s="282"/>
      <c r="H17" s="293" t="str">
        <f t="shared" si="1"/>
        <v/>
      </c>
      <c r="I17" s="279">
        <f t="shared" si="5"/>
        <v>3333.3333333333335</v>
      </c>
      <c r="J17" s="283"/>
      <c r="K17" s="284" t="str">
        <f t="shared" si="2"/>
        <v/>
      </c>
    </row>
    <row r="18" spans="2:11" ht="23.1" customHeight="1">
      <c r="B18" s="288" t="s">
        <v>93</v>
      </c>
      <c r="C18" s="289">
        <f>SUM(C6:C17)</f>
        <v>42100</v>
      </c>
      <c r="D18" s="289">
        <f>SUM(D6:D17)</f>
        <v>10000</v>
      </c>
      <c r="E18" s="290">
        <f>IF(D18=0,"",D18/C18)</f>
        <v>0.23752969121140141</v>
      </c>
      <c r="F18" s="289">
        <f t="shared" ref="F18:G18" si="6">SUM(F6:F17)</f>
        <v>20000</v>
      </c>
      <c r="G18" s="289">
        <f t="shared" si="6"/>
        <v>0</v>
      </c>
      <c r="H18" s="290" t="str">
        <f t="shared" ref="H18" si="7">IF(G18=0,"",G18/F18)</f>
        <v/>
      </c>
      <c r="I18" s="289">
        <f t="shared" ref="I18:J18" si="8">SUM(I6:I17)</f>
        <v>40000</v>
      </c>
      <c r="J18" s="289">
        <f t="shared" si="8"/>
        <v>9323</v>
      </c>
      <c r="K18" s="291">
        <f t="shared" ref="K18" si="9">IF(J18=0,"",J18/I18)</f>
        <v>0.233075</v>
      </c>
    </row>
    <row r="19" spans="2:11" ht="8.25" customHeight="1">
      <c r="I19" s="53"/>
    </row>
    <row r="20" spans="2:11">
      <c r="I20" s="53"/>
      <c r="J20" s="53"/>
      <c r="K20" s="53"/>
    </row>
    <row r="21" spans="2:11">
      <c r="J21" s="210"/>
      <c r="K21" s="210"/>
    </row>
    <row r="22" spans="2:11">
      <c r="J22" s="212"/>
      <c r="K22" s="212"/>
    </row>
    <row r="23" spans="2:11">
      <c r="J23" s="212"/>
      <c r="K23" s="212"/>
    </row>
    <row r="24" spans="2:11">
      <c r="J24" s="212"/>
      <c r="K24" s="212"/>
    </row>
    <row r="25" spans="2:11">
      <c r="J25" s="212"/>
      <c r="K25" s="212"/>
    </row>
    <row r="26" spans="2:11">
      <c r="J26" s="212"/>
      <c r="K26" s="212"/>
    </row>
    <row r="27" spans="2:11">
      <c r="J27" s="212"/>
      <c r="K27" s="212"/>
    </row>
    <row r="28" spans="2:11">
      <c r="J28" s="212"/>
      <c r="K28" s="212"/>
    </row>
    <row r="29" spans="2:11">
      <c r="J29" s="212"/>
      <c r="K29" s="212"/>
    </row>
    <row r="30" spans="2:11">
      <c r="J30" s="212"/>
      <c r="K30" s="212"/>
    </row>
    <row r="31" spans="2:11">
      <c r="J31" s="212"/>
      <c r="K31" s="212"/>
    </row>
    <row r="32" spans="2:11">
      <c r="J32" s="212"/>
      <c r="K32" s="212"/>
    </row>
    <row r="33" spans="10:11">
      <c r="J33" s="212"/>
      <c r="K33" s="212"/>
    </row>
    <row r="35" spans="10:11" ht="9" customHeight="1"/>
  </sheetData>
  <mergeCells count="8">
    <mergeCell ref="B2:K2"/>
    <mergeCell ref="B3:B5"/>
    <mergeCell ref="I3:K3"/>
    <mergeCell ref="C3:E3"/>
    <mergeCell ref="F3:H3"/>
    <mergeCell ref="C4:E4"/>
    <mergeCell ref="F4:H4"/>
    <mergeCell ref="I4:K4"/>
  </mergeCells>
  <printOptions horizontalCentered="1"/>
  <pageMargins left="0.19685039370078741" right="0.19685039370078741" top="0.19685039370078741" bottom="0.19685039370078741" header="0" footer="0"/>
  <pageSetup paperSize="9" scale="88" orientation="landscape" horizontalDpi="360" verticalDpi="36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31C8D-05F3-47FF-8DA3-E28609D523D6}">
  <sheetPr>
    <tabColor rgb="FF00B050"/>
    <outlinePr summaryBelow="0" summaryRight="0"/>
  </sheetPr>
  <dimension ref="B1:AP44"/>
  <sheetViews>
    <sheetView showGridLines="0" workbookViewId="0">
      <selection activeCell="AJ8" sqref="AJ8"/>
    </sheetView>
  </sheetViews>
  <sheetFormatPr defaultColWidth="14.42578125" defaultRowHeight="15" customHeight="1"/>
  <cols>
    <col min="1" max="2" width="1.7109375" customWidth="1"/>
    <col min="3" max="33" width="4.5703125" customWidth="1"/>
    <col min="34" max="34" width="1.7109375" customWidth="1"/>
    <col min="35" max="36" width="4.5703125" customWidth="1"/>
    <col min="37" max="45" width="14.140625" customWidth="1"/>
  </cols>
  <sheetData>
    <row r="1" spans="2:42" ht="9.75" customHeight="1"/>
    <row r="2" spans="2:42" ht="52.5" customHeight="1">
      <c r="B2" s="69"/>
      <c r="C2" s="559" t="s">
        <v>141</v>
      </c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560"/>
      <c r="X2" s="560"/>
      <c r="Y2" s="560"/>
      <c r="Z2" s="560"/>
      <c r="AA2" s="560"/>
      <c r="AB2" s="560"/>
      <c r="AC2" s="560"/>
      <c r="AD2" s="560"/>
      <c r="AE2" s="560"/>
      <c r="AF2" s="560"/>
      <c r="AG2" s="560"/>
      <c r="AH2" s="70"/>
      <c r="AI2" s="70"/>
      <c r="AJ2" s="70"/>
      <c r="AK2" s="70"/>
      <c r="AL2" s="70"/>
      <c r="AM2" s="70"/>
      <c r="AN2" s="70"/>
      <c r="AO2" s="70"/>
      <c r="AP2" s="70"/>
    </row>
    <row r="3" spans="2:42" ht="35.450000000000003" customHeight="1">
      <c r="B3" s="71"/>
      <c r="C3" s="589">
        <v>2026</v>
      </c>
      <c r="D3" s="590"/>
      <c r="E3" s="590"/>
      <c r="F3" s="590"/>
      <c r="G3" s="590"/>
      <c r="H3" s="590"/>
      <c r="I3" s="590"/>
      <c r="J3" s="590"/>
      <c r="K3" s="590"/>
      <c r="L3" s="590"/>
      <c r="M3" s="590"/>
      <c r="N3" s="590"/>
      <c r="O3" s="590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90"/>
      <c r="AA3" s="590"/>
      <c r="AB3" s="590"/>
      <c r="AC3" s="590"/>
      <c r="AD3" s="590"/>
      <c r="AE3" s="590"/>
      <c r="AF3" s="590"/>
      <c r="AG3" s="590"/>
      <c r="AH3" s="72"/>
      <c r="AI3" s="72"/>
      <c r="AJ3" s="72"/>
      <c r="AK3" s="72"/>
      <c r="AL3" s="72"/>
      <c r="AM3" s="72"/>
      <c r="AN3" s="72"/>
      <c r="AO3" s="72"/>
      <c r="AP3" s="72"/>
    </row>
    <row r="4" spans="2:42" s="204" customFormat="1" ht="20.25" customHeight="1">
      <c r="B4" s="205"/>
      <c r="C4" s="206" t="s">
        <v>142</v>
      </c>
      <c r="D4" s="206"/>
      <c r="E4" s="206"/>
      <c r="F4" s="206"/>
      <c r="G4" s="206"/>
      <c r="H4" s="206"/>
      <c r="I4" s="206"/>
      <c r="J4" s="207"/>
      <c r="K4" s="206" t="s">
        <v>143</v>
      </c>
      <c r="L4" s="206"/>
      <c r="M4" s="206"/>
      <c r="N4" s="206"/>
      <c r="O4" s="206"/>
      <c r="P4" s="206"/>
      <c r="Q4" s="206"/>
      <c r="R4" s="207"/>
      <c r="S4" s="206" t="s">
        <v>144</v>
      </c>
      <c r="T4" s="206"/>
      <c r="U4" s="206"/>
      <c r="V4" s="206"/>
      <c r="W4" s="206"/>
      <c r="X4" s="206"/>
      <c r="Y4" s="206"/>
      <c r="Z4" s="207"/>
      <c r="AA4" s="206" t="s">
        <v>145</v>
      </c>
      <c r="AB4" s="206"/>
      <c r="AC4" s="206"/>
      <c r="AD4" s="206"/>
      <c r="AE4" s="206"/>
      <c r="AF4" s="206"/>
      <c r="AG4" s="206"/>
      <c r="AH4" s="208"/>
      <c r="AI4" s="208"/>
      <c r="AJ4" s="208"/>
      <c r="AK4" s="209"/>
      <c r="AL4" s="208"/>
      <c r="AM4" s="208"/>
      <c r="AN4" s="208"/>
      <c r="AO4" s="208"/>
      <c r="AP4" s="208"/>
    </row>
    <row r="5" spans="2:42" ht="20.25" customHeight="1">
      <c r="B5" s="71"/>
      <c r="C5" s="187" t="s">
        <v>146</v>
      </c>
      <c r="D5" s="187" t="s">
        <v>147</v>
      </c>
      <c r="E5" s="187" t="s">
        <v>148</v>
      </c>
      <c r="F5" s="187" t="s">
        <v>149</v>
      </c>
      <c r="G5" s="187" t="s">
        <v>149</v>
      </c>
      <c r="H5" s="187" t="s">
        <v>147</v>
      </c>
      <c r="I5" s="187" t="s">
        <v>150</v>
      </c>
      <c r="J5" s="188"/>
      <c r="K5" s="187" t="s">
        <v>146</v>
      </c>
      <c r="L5" s="187" t="s">
        <v>147</v>
      </c>
      <c r="M5" s="187" t="s">
        <v>148</v>
      </c>
      <c r="N5" s="187" t="s">
        <v>149</v>
      </c>
      <c r="O5" s="187" t="s">
        <v>149</v>
      </c>
      <c r="P5" s="187" t="s">
        <v>147</v>
      </c>
      <c r="Q5" s="187" t="s">
        <v>150</v>
      </c>
      <c r="R5" s="188"/>
      <c r="S5" s="187" t="s">
        <v>146</v>
      </c>
      <c r="T5" s="187" t="s">
        <v>147</v>
      </c>
      <c r="U5" s="187" t="s">
        <v>148</v>
      </c>
      <c r="V5" s="187" t="s">
        <v>149</v>
      </c>
      <c r="W5" s="187" t="s">
        <v>149</v>
      </c>
      <c r="X5" s="187" t="s">
        <v>147</v>
      </c>
      <c r="Y5" s="187" t="s">
        <v>150</v>
      </c>
      <c r="Z5" s="188"/>
      <c r="AA5" s="187" t="s">
        <v>146</v>
      </c>
      <c r="AB5" s="187" t="s">
        <v>147</v>
      </c>
      <c r="AC5" s="187" t="s">
        <v>148</v>
      </c>
      <c r="AD5" s="187" t="s">
        <v>149</v>
      </c>
      <c r="AE5" s="187" t="s">
        <v>149</v>
      </c>
      <c r="AF5" s="187" t="s">
        <v>147</v>
      </c>
      <c r="AG5" s="187" t="s">
        <v>150</v>
      </c>
      <c r="AH5" s="186"/>
      <c r="AI5" s="74"/>
      <c r="AJ5" s="74"/>
    </row>
    <row r="6" spans="2:42" ht="20.25" customHeight="1">
      <c r="B6" s="71"/>
      <c r="C6" s="1"/>
      <c r="D6" s="189"/>
      <c r="E6" s="189"/>
      <c r="F6" s="189"/>
      <c r="G6" s="190">
        <v>1</v>
      </c>
      <c r="H6" s="191">
        <v>2</v>
      </c>
      <c r="I6" s="191">
        <v>3</v>
      </c>
      <c r="J6" s="192"/>
      <c r="K6" s="193">
        <v>1</v>
      </c>
      <c r="L6" s="193">
        <v>2</v>
      </c>
      <c r="M6" s="193">
        <v>3</v>
      </c>
      <c r="N6" s="193">
        <v>4</v>
      </c>
      <c r="O6" s="193">
        <v>5</v>
      </c>
      <c r="P6" s="193">
        <v>6</v>
      </c>
      <c r="Q6" s="193">
        <v>7</v>
      </c>
      <c r="R6" s="192"/>
      <c r="S6" s="193">
        <v>1</v>
      </c>
      <c r="T6" s="193">
        <v>2</v>
      </c>
      <c r="U6" s="193">
        <v>3</v>
      </c>
      <c r="V6" s="193">
        <v>4</v>
      </c>
      <c r="W6" s="193">
        <v>5</v>
      </c>
      <c r="X6" s="193">
        <v>6</v>
      </c>
      <c r="Y6" s="193">
        <v>7</v>
      </c>
      <c r="Z6" s="192"/>
      <c r="AA6" s="1"/>
      <c r="AB6" s="1"/>
      <c r="AC6" s="1"/>
      <c r="AD6" s="1">
        <v>1</v>
      </c>
      <c r="AE6" s="1">
        <v>2</v>
      </c>
      <c r="AF6" s="190">
        <v>3</v>
      </c>
      <c r="AG6" s="1">
        <v>4</v>
      </c>
      <c r="AH6" s="69"/>
      <c r="AI6" s="78"/>
      <c r="AJ6" s="78"/>
    </row>
    <row r="7" spans="2:42" ht="20.25" customHeight="1">
      <c r="B7" s="71"/>
      <c r="C7" s="191">
        <v>4</v>
      </c>
      <c r="D7" s="194">
        <v>5</v>
      </c>
      <c r="E7" s="191">
        <v>6</v>
      </c>
      <c r="F7" s="191">
        <v>7</v>
      </c>
      <c r="G7" s="191">
        <v>8</v>
      </c>
      <c r="H7" s="191">
        <v>9</v>
      </c>
      <c r="I7" s="191">
        <v>10</v>
      </c>
      <c r="J7" s="192"/>
      <c r="K7" s="193">
        <v>8</v>
      </c>
      <c r="L7" s="195">
        <v>9</v>
      </c>
      <c r="M7" s="193">
        <v>10</v>
      </c>
      <c r="N7" s="193">
        <v>11</v>
      </c>
      <c r="O7" s="193">
        <v>12</v>
      </c>
      <c r="P7" s="193">
        <v>13</v>
      </c>
      <c r="Q7" s="193">
        <v>14</v>
      </c>
      <c r="R7" s="192"/>
      <c r="S7" s="193">
        <v>8</v>
      </c>
      <c r="T7" s="193">
        <v>9</v>
      </c>
      <c r="U7" s="193">
        <v>10</v>
      </c>
      <c r="V7" s="193">
        <v>11</v>
      </c>
      <c r="W7" s="193">
        <v>12</v>
      </c>
      <c r="X7" s="193">
        <v>13</v>
      </c>
      <c r="Y7" s="193">
        <v>14</v>
      </c>
      <c r="Z7" s="192"/>
      <c r="AA7" s="1">
        <v>5</v>
      </c>
      <c r="AB7" s="1">
        <v>6</v>
      </c>
      <c r="AC7" s="1">
        <v>7</v>
      </c>
      <c r="AD7" s="1">
        <v>8</v>
      </c>
      <c r="AE7" s="1">
        <v>9</v>
      </c>
      <c r="AF7" s="1">
        <v>10</v>
      </c>
      <c r="AG7" s="1">
        <v>11</v>
      </c>
      <c r="AH7" s="69"/>
      <c r="AI7" s="78"/>
      <c r="AJ7" s="78"/>
    </row>
    <row r="8" spans="2:42" ht="20.25" customHeight="1">
      <c r="B8" s="71"/>
      <c r="C8" s="191">
        <v>11</v>
      </c>
      <c r="D8" s="191">
        <v>12</v>
      </c>
      <c r="E8" s="191">
        <v>13</v>
      </c>
      <c r="F8" s="191">
        <v>14</v>
      </c>
      <c r="G8" s="191">
        <v>15</v>
      </c>
      <c r="H8" s="191">
        <v>16</v>
      </c>
      <c r="I8" s="191">
        <v>17</v>
      </c>
      <c r="J8" s="192"/>
      <c r="K8" s="193">
        <v>15</v>
      </c>
      <c r="L8" s="190">
        <v>16</v>
      </c>
      <c r="M8" s="190">
        <v>17</v>
      </c>
      <c r="N8" s="190">
        <v>18</v>
      </c>
      <c r="O8" s="193">
        <v>19</v>
      </c>
      <c r="P8" s="193">
        <v>20</v>
      </c>
      <c r="Q8" s="193">
        <v>21</v>
      </c>
      <c r="R8" s="192"/>
      <c r="S8" s="193">
        <v>15</v>
      </c>
      <c r="T8" s="193">
        <v>16</v>
      </c>
      <c r="U8" s="196">
        <v>17</v>
      </c>
      <c r="V8" s="196">
        <v>18</v>
      </c>
      <c r="W8" s="196">
        <v>19</v>
      </c>
      <c r="X8" s="193">
        <v>20</v>
      </c>
      <c r="Y8" s="193">
        <v>21</v>
      </c>
      <c r="Z8" s="192"/>
      <c r="AA8" s="1">
        <v>12</v>
      </c>
      <c r="AB8" s="1">
        <v>13</v>
      </c>
      <c r="AC8" s="1">
        <v>14</v>
      </c>
      <c r="AD8" s="1">
        <v>15</v>
      </c>
      <c r="AE8" s="1">
        <v>16</v>
      </c>
      <c r="AF8" s="1">
        <v>17</v>
      </c>
      <c r="AG8" s="1">
        <v>18</v>
      </c>
      <c r="AH8" s="69"/>
      <c r="AI8" s="78"/>
      <c r="AJ8" s="78"/>
    </row>
    <row r="9" spans="2:42" ht="20.25" customHeight="1">
      <c r="B9" s="71"/>
      <c r="C9" s="191">
        <v>18</v>
      </c>
      <c r="D9" s="191">
        <v>19</v>
      </c>
      <c r="E9" s="191">
        <v>20</v>
      </c>
      <c r="F9" s="191">
        <v>21</v>
      </c>
      <c r="G9" s="191">
        <v>22</v>
      </c>
      <c r="H9" s="191">
        <v>23</v>
      </c>
      <c r="I9" s="191">
        <v>24</v>
      </c>
      <c r="J9" s="192"/>
      <c r="K9" s="193">
        <v>22</v>
      </c>
      <c r="L9" s="193">
        <v>23</v>
      </c>
      <c r="M9" s="193">
        <v>24</v>
      </c>
      <c r="N9" s="193">
        <v>25</v>
      </c>
      <c r="O9" s="193">
        <v>26</v>
      </c>
      <c r="P9" s="193">
        <v>27</v>
      </c>
      <c r="Q9" s="193">
        <v>28</v>
      </c>
      <c r="R9" s="192"/>
      <c r="S9" s="193">
        <v>22</v>
      </c>
      <c r="T9" s="193">
        <v>23</v>
      </c>
      <c r="U9" s="193">
        <v>24</v>
      </c>
      <c r="V9" s="193">
        <v>25</v>
      </c>
      <c r="W9" s="193">
        <v>26</v>
      </c>
      <c r="X9" s="193">
        <v>27</v>
      </c>
      <c r="Y9" s="193">
        <v>28</v>
      </c>
      <c r="Z9" s="192"/>
      <c r="AA9" s="1">
        <v>19</v>
      </c>
      <c r="AB9" s="1">
        <v>20</v>
      </c>
      <c r="AC9" s="190">
        <v>21</v>
      </c>
      <c r="AD9" s="1">
        <v>22</v>
      </c>
      <c r="AE9" s="1">
        <v>23</v>
      </c>
      <c r="AF9" s="1">
        <v>24</v>
      </c>
      <c r="AG9" s="1">
        <v>25</v>
      </c>
      <c r="AH9" s="69"/>
      <c r="AI9" s="78"/>
      <c r="AJ9" s="78"/>
    </row>
    <row r="10" spans="2:42" ht="20.25" customHeight="1">
      <c r="B10" s="71"/>
      <c r="C10" s="191">
        <v>25</v>
      </c>
      <c r="D10" s="191">
        <v>26</v>
      </c>
      <c r="E10" s="191">
        <v>27</v>
      </c>
      <c r="F10" s="191">
        <v>28</v>
      </c>
      <c r="G10" s="191">
        <v>29</v>
      </c>
      <c r="H10" s="191">
        <v>30</v>
      </c>
      <c r="I10" s="189"/>
      <c r="J10" s="192"/>
      <c r="K10" s="191"/>
      <c r="L10" s="191"/>
      <c r="M10" s="191"/>
      <c r="N10" s="191"/>
      <c r="O10" s="191"/>
      <c r="P10" s="191"/>
      <c r="Q10" s="189"/>
      <c r="R10" s="192"/>
      <c r="S10" s="193">
        <v>29</v>
      </c>
      <c r="T10" s="193">
        <v>30</v>
      </c>
      <c r="U10" s="193">
        <v>31</v>
      </c>
      <c r="V10" s="193"/>
      <c r="W10" s="193"/>
      <c r="X10" s="193"/>
      <c r="Y10" s="193"/>
      <c r="Z10" s="192"/>
      <c r="AA10" s="1">
        <v>26</v>
      </c>
      <c r="AB10" s="1">
        <v>27</v>
      </c>
      <c r="AC10" s="1">
        <v>28</v>
      </c>
      <c r="AD10" s="1">
        <v>29</v>
      </c>
      <c r="AE10" s="1">
        <v>30</v>
      </c>
      <c r="AF10" s="1"/>
      <c r="AG10" s="1"/>
      <c r="AH10" s="197"/>
      <c r="AI10" s="77"/>
      <c r="AJ10" s="77"/>
    </row>
    <row r="11" spans="2:42" ht="20.25" customHeight="1">
      <c r="B11" s="71"/>
      <c r="C11" s="189"/>
      <c r="D11" s="189"/>
      <c r="E11" s="189"/>
      <c r="F11" s="189"/>
      <c r="G11" s="189"/>
      <c r="H11" s="189"/>
      <c r="I11" s="189"/>
      <c r="J11" s="192"/>
      <c r="K11" s="189"/>
      <c r="L11" s="189"/>
      <c r="M11" s="189"/>
      <c r="N11" s="189"/>
      <c r="O11" s="189"/>
      <c r="P11" s="189"/>
      <c r="Q11" s="189"/>
      <c r="R11" s="192"/>
      <c r="S11" s="191"/>
      <c r="T11" s="191"/>
      <c r="U11" s="189"/>
      <c r="V11" s="189"/>
      <c r="W11" s="189"/>
      <c r="X11" s="189"/>
      <c r="Y11" s="189"/>
      <c r="Z11" s="192"/>
      <c r="AA11" s="189"/>
      <c r="AB11" s="189"/>
      <c r="AC11" s="189"/>
      <c r="AD11" s="189"/>
      <c r="AE11" s="189"/>
      <c r="AF11" s="189"/>
      <c r="AG11" s="189"/>
      <c r="AH11" s="197"/>
      <c r="AI11" s="77"/>
      <c r="AJ11" s="77"/>
    </row>
    <row r="12" spans="2:42" s="204" customFormat="1" ht="20.25" customHeight="1">
      <c r="B12" s="205"/>
      <c r="C12" s="206" t="s">
        <v>151</v>
      </c>
      <c r="D12" s="206"/>
      <c r="E12" s="206"/>
      <c r="F12" s="206"/>
      <c r="G12" s="206"/>
      <c r="H12" s="206"/>
      <c r="I12" s="206"/>
      <c r="J12" s="207"/>
      <c r="K12" s="206" t="s">
        <v>152</v>
      </c>
      <c r="L12" s="206"/>
      <c r="M12" s="206"/>
      <c r="N12" s="206"/>
      <c r="O12" s="206"/>
      <c r="P12" s="206"/>
      <c r="Q12" s="206"/>
      <c r="R12" s="207"/>
      <c r="S12" s="206" t="s">
        <v>153</v>
      </c>
      <c r="T12" s="206"/>
      <c r="U12" s="206"/>
      <c r="V12" s="206"/>
      <c r="W12" s="206"/>
      <c r="X12" s="206"/>
      <c r="Y12" s="206"/>
      <c r="Z12" s="207"/>
      <c r="AA12" s="206" t="s">
        <v>154</v>
      </c>
      <c r="AB12" s="206"/>
      <c r="AC12" s="206"/>
      <c r="AD12" s="206"/>
      <c r="AE12" s="206"/>
      <c r="AF12" s="206"/>
      <c r="AG12" s="206"/>
      <c r="AH12" s="208"/>
      <c r="AI12" s="208"/>
      <c r="AJ12" s="208"/>
    </row>
    <row r="13" spans="2:42" ht="20.25" customHeight="1">
      <c r="B13" s="71"/>
      <c r="C13" s="187" t="s">
        <v>146</v>
      </c>
      <c r="D13" s="187" t="s">
        <v>147</v>
      </c>
      <c r="E13" s="187" t="s">
        <v>148</v>
      </c>
      <c r="F13" s="187" t="s">
        <v>149</v>
      </c>
      <c r="G13" s="187" t="s">
        <v>149</v>
      </c>
      <c r="H13" s="187" t="s">
        <v>147</v>
      </c>
      <c r="I13" s="187" t="s">
        <v>150</v>
      </c>
      <c r="J13" s="188"/>
      <c r="K13" s="187" t="s">
        <v>146</v>
      </c>
      <c r="L13" s="187" t="s">
        <v>147</v>
      </c>
      <c r="M13" s="187" t="s">
        <v>148</v>
      </c>
      <c r="N13" s="187" t="s">
        <v>149</v>
      </c>
      <c r="O13" s="187" t="s">
        <v>149</v>
      </c>
      <c r="P13" s="187" t="s">
        <v>147</v>
      </c>
      <c r="Q13" s="187" t="s">
        <v>150</v>
      </c>
      <c r="R13" s="188"/>
      <c r="S13" s="187" t="s">
        <v>146</v>
      </c>
      <c r="T13" s="187" t="s">
        <v>147</v>
      </c>
      <c r="U13" s="187" t="s">
        <v>148</v>
      </c>
      <c r="V13" s="187" t="s">
        <v>149</v>
      </c>
      <c r="W13" s="187" t="s">
        <v>149</v>
      </c>
      <c r="X13" s="187" t="s">
        <v>147</v>
      </c>
      <c r="Y13" s="187" t="s">
        <v>150</v>
      </c>
      <c r="Z13" s="188"/>
      <c r="AA13" s="187" t="s">
        <v>146</v>
      </c>
      <c r="AB13" s="187" t="s">
        <v>147</v>
      </c>
      <c r="AC13" s="187" t="s">
        <v>148</v>
      </c>
      <c r="AD13" s="187" t="s">
        <v>149</v>
      </c>
      <c r="AE13" s="187" t="s">
        <v>149</v>
      </c>
      <c r="AF13" s="187" t="s">
        <v>147</v>
      </c>
      <c r="AG13" s="187" t="s">
        <v>150</v>
      </c>
      <c r="AH13" s="186"/>
      <c r="AI13" s="74"/>
      <c r="AJ13" s="74"/>
    </row>
    <row r="14" spans="2:42" ht="20.25" customHeight="1">
      <c r="B14" s="71"/>
      <c r="C14" s="1"/>
      <c r="D14" s="1"/>
      <c r="E14" s="1"/>
      <c r="F14" s="1"/>
      <c r="G14" s="1"/>
      <c r="H14" s="190">
        <v>1</v>
      </c>
      <c r="I14" s="1">
        <v>2</v>
      </c>
      <c r="J14" s="192"/>
      <c r="K14" s="1"/>
      <c r="L14" s="198">
        <v>1</v>
      </c>
      <c r="M14" s="198">
        <v>2</v>
      </c>
      <c r="N14" s="198">
        <v>3</v>
      </c>
      <c r="O14" s="190">
        <v>4</v>
      </c>
      <c r="P14" s="198">
        <v>5</v>
      </c>
      <c r="Q14" s="198">
        <v>6</v>
      </c>
      <c r="R14" s="1"/>
      <c r="S14" s="1"/>
      <c r="T14" s="1"/>
      <c r="U14" s="1"/>
      <c r="V14" s="198">
        <v>1</v>
      </c>
      <c r="W14" s="198">
        <v>2</v>
      </c>
      <c r="X14" s="198">
        <v>3</v>
      </c>
      <c r="Y14" s="198">
        <v>4</v>
      </c>
      <c r="Z14" s="192"/>
      <c r="AA14" s="1"/>
      <c r="AB14" s="1"/>
      <c r="AC14" s="1"/>
      <c r="AD14" s="1"/>
      <c r="AE14" s="1"/>
      <c r="AF14" s="1"/>
      <c r="AG14" s="1">
        <v>1</v>
      </c>
      <c r="AH14" s="69"/>
      <c r="AI14" s="78"/>
      <c r="AJ14" s="78"/>
      <c r="AN14" s="78"/>
      <c r="AO14" s="78"/>
      <c r="AP14" s="78"/>
    </row>
    <row r="15" spans="2:42" ht="20.25" customHeight="1">
      <c r="B15" s="71"/>
      <c r="C15" s="1">
        <v>3</v>
      </c>
      <c r="D15" s="1">
        <v>4</v>
      </c>
      <c r="E15" s="1">
        <v>5</v>
      </c>
      <c r="F15" s="1">
        <v>6</v>
      </c>
      <c r="G15" s="1">
        <v>7</v>
      </c>
      <c r="H15" s="1">
        <v>8</v>
      </c>
      <c r="I15" s="1">
        <v>9</v>
      </c>
      <c r="J15" s="192"/>
      <c r="K15" s="198">
        <v>7</v>
      </c>
      <c r="L15" s="198">
        <v>8</v>
      </c>
      <c r="M15" s="198">
        <v>9</v>
      </c>
      <c r="N15" s="198">
        <v>10</v>
      </c>
      <c r="O15" s="198">
        <v>11</v>
      </c>
      <c r="P15" s="198">
        <v>12</v>
      </c>
      <c r="Q15" s="198">
        <v>13</v>
      </c>
      <c r="R15" s="1"/>
      <c r="S15" s="198">
        <v>5</v>
      </c>
      <c r="T15" s="198">
        <v>6</v>
      </c>
      <c r="U15" s="198">
        <v>7</v>
      </c>
      <c r="V15" s="198">
        <v>8</v>
      </c>
      <c r="W15" s="198">
        <v>9</v>
      </c>
      <c r="X15" s="198">
        <v>10</v>
      </c>
      <c r="Y15" s="198">
        <v>11</v>
      </c>
      <c r="Z15" s="192"/>
      <c r="AA15" s="1">
        <v>2</v>
      </c>
      <c r="AB15" s="1">
        <v>3</v>
      </c>
      <c r="AC15" s="1">
        <v>4</v>
      </c>
      <c r="AD15" s="1">
        <v>5</v>
      </c>
      <c r="AE15" s="1">
        <v>6</v>
      </c>
      <c r="AF15" s="1">
        <v>7</v>
      </c>
      <c r="AG15" s="1">
        <v>8</v>
      </c>
      <c r="AH15" s="69"/>
      <c r="AI15" s="78"/>
      <c r="AJ15" s="78"/>
      <c r="AK15" s="78"/>
      <c r="AL15" s="78"/>
      <c r="AM15" s="78"/>
      <c r="AN15" s="78"/>
      <c r="AO15" s="78"/>
      <c r="AP15" s="78"/>
    </row>
    <row r="16" spans="2:42" ht="20.25" customHeight="1">
      <c r="B16" s="71"/>
      <c r="C16" s="1">
        <v>10</v>
      </c>
      <c r="D16" s="1">
        <v>11</v>
      </c>
      <c r="E16" s="1">
        <v>12</v>
      </c>
      <c r="F16" s="1">
        <v>13</v>
      </c>
      <c r="G16" s="1">
        <v>14</v>
      </c>
      <c r="H16" s="1">
        <v>15</v>
      </c>
      <c r="I16" s="1">
        <v>16</v>
      </c>
      <c r="J16" s="192"/>
      <c r="K16" s="198">
        <v>14</v>
      </c>
      <c r="L16" s="198">
        <v>15</v>
      </c>
      <c r="M16" s="198">
        <v>16</v>
      </c>
      <c r="N16" s="198">
        <v>17</v>
      </c>
      <c r="O16" s="198">
        <v>18</v>
      </c>
      <c r="P16" s="198">
        <v>19</v>
      </c>
      <c r="Q16" s="198">
        <v>20</v>
      </c>
      <c r="R16" s="1"/>
      <c r="S16" s="198">
        <v>12</v>
      </c>
      <c r="T16" s="198">
        <v>13</v>
      </c>
      <c r="U16" s="198">
        <v>14</v>
      </c>
      <c r="V16" s="198">
        <v>15</v>
      </c>
      <c r="W16" s="198">
        <v>16</v>
      </c>
      <c r="X16" s="198">
        <v>17</v>
      </c>
      <c r="Y16" s="198">
        <v>18</v>
      </c>
      <c r="Z16" s="192"/>
      <c r="AA16" s="1">
        <v>9</v>
      </c>
      <c r="AB16" s="1">
        <v>10</v>
      </c>
      <c r="AC16" s="1">
        <v>11</v>
      </c>
      <c r="AD16" s="1">
        <v>12</v>
      </c>
      <c r="AE16" s="1">
        <v>13</v>
      </c>
      <c r="AF16" s="1">
        <v>14</v>
      </c>
      <c r="AG16" s="1">
        <v>15</v>
      </c>
      <c r="AH16" s="69"/>
      <c r="AI16" s="78"/>
      <c r="AJ16" s="78"/>
      <c r="AK16" s="78"/>
      <c r="AL16" s="78"/>
      <c r="AM16" s="78"/>
      <c r="AN16" s="78"/>
      <c r="AO16" s="78"/>
      <c r="AP16" s="78"/>
    </row>
    <row r="17" spans="2:42" ht="20.25" customHeight="1">
      <c r="B17" s="71"/>
      <c r="C17" s="1">
        <v>17</v>
      </c>
      <c r="D17" s="1">
        <v>18</v>
      </c>
      <c r="E17" s="1">
        <v>19</v>
      </c>
      <c r="F17" s="1">
        <v>20</v>
      </c>
      <c r="G17" s="1">
        <v>21</v>
      </c>
      <c r="H17" s="1">
        <v>22</v>
      </c>
      <c r="I17" s="1">
        <v>23</v>
      </c>
      <c r="J17" s="192"/>
      <c r="K17" s="199">
        <v>21</v>
      </c>
      <c r="L17" s="198">
        <v>22</v>
      </c>
      <c r="M17" s="198">
        <v>23</v>
      </c>
      <c r="N17" s="198">
        <v>24</v>
      </c>
      <c r="O17" s="198">
        <v>25</v>
      </c>
      <c r="P17" s="198">
        <v>26</v>
      </c>
      <c r="Q17" s="198">
        <v>27</v>
      </c>
      <c r="R17" s="1"/>
      <c r="S17" s="198">
        <v>19</v>
      </c>
      <c r="T17" s="198">
        <v>20</v>
      </c>
      <c r="U17" s="198">
        <v>21</v>
      </c>
      <c r="V17" s="198">
        <v>22</v>
      </c>
      <c r="W17" s="198">
        <v>23</v>
      </c>
      <c r="X17" s="198">
        <v>24</v>
      </c>
      <c r="Y17" s="198">
        <v>25</v>
      </c>
      <c r="Z17" s="192"/>
      <c r="AA17" s="1">
        <v>16</v>
      </c>
      <c r="AB17" s="1">
        <v>17</v>
      </c>
      <c r="AC17" s="1">
        <v>18</v>
      </c>
      <c r="AD17" s="1">
        <v>19</v>
      </c>
      <c r="AE17" s="1">
        <v>20</v>
      </c>
      <c r="AF17" s="1">
        <v>21</v>
      </c>
      <c r="AG17" s="1">
        <v>22</v>
      </c>
      <c r="AH17" s="197"/>
      <c r="AI17" s="77"/>
      <c r="AJ17" s="77"/>
      <c r="AK17" s="77"/>
      <c r="AL17" s="77"/>
      <c r="AM17" s="77"/>
      <c r="AN17" s="77"/>
      <c r="AO17" s="77"/>
      <c r="AP17" s="77"/>
    </row>
    <row r="18" spans="2:42" ht="20.25" customHeight="1">
      <c r="B18" s="71"/>
      <c r="C18" s="1">
        <v>24</v>
      </c>
      <c r="D18" s="1">
        <v>25</v>
      </c>
      <c r="E18" s="1">
        <v>26</v>
      </c>
      <c r="F18" s="1">
        <v>27</v>
      </c>
      <c r="G18" s="1">
        <v>28</v>
      </c>
      <c r="H18" s="1">
        <v>29</v>
      </c>
      <c r="I18" s="1">
        <v>30</v>
      </c>
      <c r="J18" s="192"/>
      <c r="K18" s="198">
        <v>28</v>
      </c>
      <c r="L18" s="198">
        <v>29</v>
      </c>
      <c r="M18" s="198">
        <v>30</v>
      </c>
      <c r="N18" s="1"/>
      <c r="O18" s="1"/>
      <c r="P18" s="1"/>
      <c r="Q18" s="1"/>
      <c r="R18" s="1"/>
      <c r="S18" s="198">
        <v>26</v>
      </c>
      <c r="T18" s="198">
        <v>27</v>
      </c>
      <c r="U18" s="198">
        <v>28</v>
      </c>
      <c r="V18" s="198">
        <v>29</v>
      </c>
      <c r="W18" s="198">
        <v>30</v>
      </c>
      <c r="X18" s="198">
        <v>31</v>
      </c>
      <c r="Y18" s="1"/>
      <c r="Z18" s="192"/>
      <c r="AA18" s="1">
        <v>23</v>
      </c>
      <c r="AB18" s="1">
        <v>24</v>
      </c>
      <c r="AC18" s="1">
        <v>25</v>
      </c>
      <c r="AD18" s="1">
        <v>26</v>
      </c>
      <c r="AE18" s="1">
        <v>27</v>
      </c>
      <c r="AF18" s="1">
        <v>28</v>
      </c>
      <c r="AG18" s="1">
        <v>29</v>
      </c>
      <c r="AH18" s="69"/>
      <c r="AI18" s="78"/>
      <c r="AJ18" s="78"/>
      <c r="AK18" s="78"/>
      <c r="AL18" s="78"/>
      <c r="AM18" s="78"/>
      <c r="AN18" s="78"/>
      <c r="AO18" s="78"/>
      <c r="AP18" s="78"/>
    </row>
    <row r="19" spans="2:42" ht="20.25" customHeight="1">
      <c r="B19" s="71"/>
      <c r="C19" s="1">
        <v>31</v>
      </c>
      <c r="D19" s="1"/>
      <c r="E19" s="1"/>
      <c r="F19" s="1"/>
      <c r="G19" s="1"/>
      <c r="H19" s="1"/>
      <c r="I19" s="1"/>
      <c r="J19" s="192"/>
      <c r="K19" s="1"/>
      <c r="L19" s="1"/>
      <c r="M19" s="1"/>
      <c r="N19" s="1"/>
      <c r="O19" s="1"/>
      <c r="P19" s="1"/>
      <c r="Q19" s="1"/>
      <c r="R19" s="1"/>
      <c r="S19" s="189"/>
      <c r="T19" s="189"/>
      <c r="U19" s="189"/>
      <c r="V19" s="189"/>
      <c r="W19" s="189"/>
      <c r="X19" s="189"/>
      <c r="Y19" s="189"/>
      <c r="Z19" s="192"/>
      <c r="AA19" s="1">
        <v>30</v>
      </c>
      <c r="AB19" s="1">
        <v>31</v>
      </c>
      <c r="AC19" s="1"/>
      <c r="AD19" s="1"/>
      <c r="AE19" s="1"/>
      <c r="AF19" s="1"/>
      <c r="AG19" s="1"/>
      <c r="AH19" s="197"/>
      <c r="AI19" s="77"/>
      <c r="AJ19" s="77"/>
      <c r="AK19" s="77"/>
      <c r="AL19" s="77"/>
      <c r="AM19" s="77"/>
      <c r="AN19" s="77"/>
      <c r="AO19" s="77"/>
      <c r="AP19" s="77"/>
    </row>
    <row r="20" spans="2:42" s="204" customFormat="1" ht="20.25" customHeight="1">
      <c r="B20" s="205"/>
      <c r="C20" s="206" t="s">
        <v>155</v>
      </c>
      <c r="D20" s="206"/>
      <c r="E20" s="206"/>
      <c r="F20" s="206"/>
      <c r="G20" s="206"/>
      <c r="H20" s="206"/>
      <c r="I20" s="206"/>
      <c r="J20" s="207"/>
      <c r="K20" s="206" t="s">
        <v>156</v>
      </c>
      <c r="L20" s="206"/>
      <c r="M20" s="206"/>
      <c r="N20" s="206"/>
      <c r="O20" s="206"/>
      <c r="P20" s="206"/>
      <c r="Q20" s="206"/>
      <c r="R20" s="207"/>
      <c r="S20" s="206" t="s">
        <v>157</v>
      </c>
      <c r="T20" s="206"/>
      <c r="U20" s="206"/>
      <c r="V20" s="206"/>
      <c r="W20" s="206"/>
      <c r="X20" s="206"/>
      <c r="Y20" s="206"/>
      <c r="Z20" s="207"/>
      <c r="AA20" s="206" t="s">
        <v>158</v>
      </c>
      <c r="AB20" s="206"/>
      <c r="AC20" s="206"/>
      <c r="AD20" s="206"/>
      <c r="AE20" s="206"/>
      <c r="AF20" s="206"/>
      <c r="AG20" s="206"/>
      <c r="AH20" s="208"/>
      <c r="AI20" s="208"/>
      <c r="AJ20" s="208"/>
      <c r="AK20" s="208"/>
      <c r="AL20" s="208"/>
      <c r="AM20" s="208"/>
      <c r="AN20" s="208"/>
      <c r="AO20" s="208"/>
      <c r="AP20" s="208"/>
    </row>
    <row r="21" spans="2:42" ht="20.25" customHeight="1">
      <c r="B21" s="71"/>
      <c r="C21" s="187" t="s">
        <v>146</v>
      </c>
      <c r="D21" s="187" t="s">
        <v>147</v>
      </c>
      <c r="E21" s="187" t="s">
        <v>148</v>
      </c>
      <c r="F21" s="187" t="s">
        <v>149</v>
      </c>
      <c r="G21" s="187" t="s">
        <v>149</v>
      </c>
      <c r="H21" s="187" t="s">
        <v>147</v>
      </c>
      <c r="I21" s="187" t="s">
        <v>150</v>
      </c>
      <c r="J21" s="188"/>
      <c r="K21" s="187" t="s">
        <v>146</v>
      </c>
      <c r="L21" s="187" t="s">
        <v>147</v>
      </c>
      <c r="M21" s="187" t="s">
        <v>148</v>
      </c>
      <c r="N21" s="187" t="s">
        <v>149</v>
      </c>
      <c r="O21" s="187" t="s">
        <v>149</v>
      </c>
      <c r="P21" s="187" t="s">
        <v>147</v>
      </c>
      <c r="Q21" s="187" t="s">
        <v>150</v>
      </c>
      <c r="R21" s="188"/>
      <c r="S21" s="187" t="s">
        <v>146</v>
      </c>
      <c r="T21" s="187" t="s">
        <v>147</v>
      </c>
      <c r="U21" s="187" t="s">
        <v>148</v>
      </c>
      <c r="V21" s="187" t="s">
        <v>149</v>
      </c>
      <c r="W21" s="187" t="s">
        <v>149</v>
      </c>
      <c r="X21" s="187" t="s">
        <v>147</v>
      </c>
      <c r="Y21" s="187" t="s">
        <v>150</v>
      </c>
      <c r="Z21" s="188"/>
      <c r="AA21" s="187" t="s">
        <v>146</v>
      </c>
      <c r="AB21" s="187" t="s">
        <v>147</v>
      </c>
      <c r="AC21" s="187" t="s">
        <v>148</v>
      </c>
      <c r="AD21" s="187" t="s">
        <v>149</v>
      </c>
      <c r="AE21" s="187" t="s">
        <v>149</v>
      </c>
      <c r="AF21" s="187" t="s">
        <v>147</v>
      </c>
      <c r="AG21" s="187" t="s">
        <v>150</v>
      </c>
      <c r="AH21" s="186"/>
      <c r="AI21" s="74"/>
      <c r="AJ21" s="74"/>
      <c r="AK21" s="74"/>
      <c r="AL21" s="74"/>
      <c r="AM21" s="74"/>
      <c r="AN21" s="74"/>
      <c r="AO21" s="74"/>
      <c r="AP21" s="74"/>
    </row>
    <row r="22" spans="2:42" ht="20.25" customHeight="1">
      <c r="B22" s="71"/>
      <c r="C22" s="1"/>
      <c r="D22" s="1"/>
      <c r="E22" s="1">
        <v>1</v>
      </c>
      <c r="F22" s="1">
        <v>2</v>
      </c>
      <c r="G22" s="1">
        <v>3</v>
      </c>
      <c r="H22" s="1">
        <v>4</v>
      </c>
      <c r="I22" s="1">
        <v>5</v>
      </c>
      <c r="J22" s="192"/>
      <c r="K22" s="1"/>
      <c r="L22" s="1"/>
      <c r="M22" s="1"/>
      <c r="N22" s="1"/>
      <c r="O22" s="1">
        <v>1</v>
      </c>
      <c r="P22" s="1">
        <v>2</v>
      </c>
      <c r="Q22" s="1">
        <v>3</v>
      </c>
      <c r="R22" s="192"/>
      <c r="S22" s="1">
        <v>1</v>
      </c>
      <c r="T22" s="190">
        <v>2</v>
      </c>
      <c r="U22" s="1">
        <v>3</v>
      </c>
      <c r="V22" s="1">
        <v>4</v>
      </c>
      <c r="W22" s="1">
        <v>5</v>
      </c>
      <c r="X22" s="1">
        <v>6</v>
      </c>
      <c r="Y22" s="1">
        <v>7</v>
      </c>
      <c r="Z22" s="192"/>
      <c r="AA22" s="1"/>
      <c r="AB22" s="1"/>
      <c r="AC22" s="1">
        <v>1</v>
      </c>
      <c r="AD22" s="1">
        <v>2</v>
      </c>
      <c r="AE22" s="1">
        <v>3</v>
      </c>
      <c r="AF22" s="1">
        <v>4</v>
      </c>
      <c r="AG22" s="1">
        <v>5</v>
      </c>
      <c r="AH22" s="69"/>
      <c r="AI22" s="78"/>
      <c r="AJ22" s="78"/>
      <c r="AK22" s="78"/>
      <c r="AL22" s="78"/>
      <c r="AM22" s="78"/>
      <c r="AN22" s="78"/>
      <c r="AO22" s="78"/>
      <c r="AP22" s="78"/>
    </row>
    <row r="23" spans="2:42" ht="20.25" customHeight="1">
      <c r="B23" s="71"/>
      <c r="C23" s="1">
        <v>6</v>
      </c>
      <c r="D23" s="190">
        <v>7</v>
      </c>
      <c r="E23" s="1">
        <v>8</v>
      </c>
      <c r="F23" s="1">
        <v>9</v>
      </c>
      <c r="G23" s="1">
        <v>10</v>
      </c>
      <c r="H23" s="1">
        <v>11</v>
      </c>
      <c r="I23" s="1">
        <v>12</v>
      </c>
      <c r="J23" s="192"/>
      <c r="K23" s="194">
        <v>4</v>
      </c>
      <c r="L23" s="1">
        <v>5</v>
      </c>
      <c r="M23" s="1">
        <v>6</v>
      </c>
      <c r="N23" s="1">
        <v>7</v>
      </c>
      <c r="O23" s="1">
        <v>8</v>
      </c>
      <c r="P23" s="1">
        <v>9</v>
      </c>
      <c r="Q23" s="1">
        <v>10</v>
      </c>
      <c r="R23" s="192"/>
      <c r="S23" s="1">
        <v>8</v>
      </c>
      <c r="T23" s="1">
        <v>9</v>
      </c>
      <c r="U23" s="1">
        <v>10</v>
      </c>
      <c r="V23" s="1">
        <v>11</v>
      </c>
      <c r="W23" s="1">
        <v>12</v>
      </c>
      <c r="X23" s="1">
        <v>13</v>
      </c>
      <c r="Y23" s="1">
        <v>14</v>
      </c>
      <c r="Z23" s="192"/>
      <c r="AA23" s="1">
        <v>6</v>
      </c>
      <c r="AB23" s="1">
        <v>7</v>
      </c>
      <c r="AC23" s="1">
        <v>8</v>
      </c>
      <c r="AD23" s="1">
        <v>9</v>
      </c>
      <c r="AE23" s="1">
        <v>10</v>
      </c>
      <c r="AF23" s="1">
        <v>11</v>
      </c>
      <c r="AG23" s="1">
        <v>12</v>
      </c>
      <c r="AH23" s="200"/>
      <c r="AI23" s="82"/>
      <c r="AJ23" s="82"/>
      <c r="AK23" s="82"/>
      <c r="AL23" s="82"/>
      <c r="AM23" s="82"/>
      <c r="AN23" s="82"/>
      <c r="AO23" s="82"/>
      <c r="AP23" s="82"/>
    </row>
    <row r="24" spans="2:42" ht="20.25" customHeight="1">
      <c r="B24" s="71"/>
      <c r="C24" s="1">
        <v>13</v>
      </c>
      <c r="D24" s="1">
        <v>14</v>
      </c>
      <c r="E24" s="196">
        <v>15</v>
      </c>
      <c r="F24" s="196">
        <v>16</v>
      </c>
      <c r="G24" s="196">
        <v>17</v>
      </c>
      <c r="H24" s="1">
        <v>18</v>
      </c>
      <c r="I24" s="1">
        <v>19</v>
      </c>
      <c r="J24" s="192"/>
      <c r="K24" s="1">
        <v>11</v>
      </c>
      <c r="L24" s="201">
        <v>12</v>
      </c>
      <c r="M24" s="1">
        <v>13</v>
      </c>
      <c r="N24" s="1">
        <v>14</v>
      </c>
      <c r="O24" s="1">
        <v>15</v>
      </c>
      <c r="P24" s="1">
        <v>16</v>
      </c>
      <c r="Q24" s="1">
        <v>17</v>
      </c>
      <c r="R24" s="192"/>
      <c r="S24" s="190">
        <v>15</v>
      </c>
      <c r="T24" s="1">
        <v>16</v>
      </c>
      <c r="U24" s="1">
        <v>17</v>
      </c>
      <c r="V24" s="1">
        <v>18</v>
      </c>
      <c r="W24" s="1">
        <v>19</v>
      </c>
      <c r="X24" s="1">
        <v>20</v>
      </c>
      <c r="Y24" s="1">
        <v>21</v>
      </c>
      <c r="Z24" s="192"/>
      <c r="AA24" s="1">
        <v>13</v>
      </c>
      <c r="AB24" s="1">
        <v>14</v>
      </c>
      <c r="AC24" s="1">
        <v>15</v>
      </c>
      <c r="AD24" s="1">
        <v>16</v>
      </c>
      <c r="AE24" s="1">
        <v>17</v>
      </c>
      <c r="AF24" s="1">
        <v>18</v>
      </c>
      <c r="AG24" s="1">
        <v>19</v>
      </c>
      <c r="AH24" s="69"/>
      <c r="AI24" s="78"/>
      <c r="AJ24" s="78"/>
      <c r="AK24" s="78"/>
      <c r="AL24" s="78"/>
      <c r="AM24" s="78"/>
      <c r="AN24" s="78"/>
      <c r="AO24" s="78"/>
      <c r="AP24" s="78"/>
    </row>
    <row r="25" spans="2:42" ht="20.25" customHeight="1">
      <c r="B25" s="71"/>
      <c r="C25" s="1">
        <v>20</v>
      </c>
      <c r="D25" s="1">
        <v>21</v>
      </c>
      <c r="E25" s="1">
        <v>22</v>
      </c>
      <c r="F25" s="199">
        <v>23</v>
      </c>
      <c r="G25" s="1">
        <v>24</v>
      </c>
      <c r="H25" s="1">
        <v>25</v>
      </c>
      <c r="I25" s="1">
        <v>26</v>
      </c>
      <c r="J25" s="192"/>
      <c r="K25" s="1">
        <v>18</v>
      </c>
      <c r="L25" s="1">
        <v>19</v>
      </c>
      <c r="M25" s="1">
        <v>20</v>
      </c>
      <c r="N25" s="1">
        <v>21</v>
      </c>
      <c r="O25" s="1">
        <v>22</v>
      </c>
      <c r="P25" s="1">
        <v>23</v>
      </c>
      <c r="Q25" s="1">
        <v>24</v>
      </c>
      <c r="R25" s="192"/>
      <c r="S25" s="1">
        <v>22</v>
      </c>
      <c r="T25" s="1">
        <v>23</v>
      </c>
      <c r="U25" s="1">
        <v>24</v>
      </c>
      <c r="V25" s="1">
        <v>25</v>
      </c>
      <c r="W25" s="1">
        <v>26</v>
      </c>
      <c r="X25" s="1">
        <v>27</v>
      </c>
      <c r="Y25" s="1">
        <v>28</v>
      </c>
      <c r="Z25" s="192"/>
      <c r="AA25" s="1">
        <v>20</v>
      </c>
      <c r="AB25" s="1">
        <v>21</v>
      </c>
      <c r="AC25" s="1">
        <v>22</v>
      </c>
      <c r="AD25" s="1">
        <v>23</v>
      </c>
      <c r="AE25" s="1">
        <v>24</v>
      </c>
      <c r="AF25" s="190">
        <v>25</v>
      </c>
      <c r="AG25" s="1">
        <v>26</v>
      </c>
      <c r="AH25" s="69"/>
      <c r="AI25" s="78"/>
      <c r="AJ25" s="78"/>
      <c r="AK25" s="78"/>
      <c r="AL25" s="78"/>
      <c r="AM25" s="78"/>
      <c r="AN25" s="78"/>
      <c r="AO25" s="78"/>
      <c r="AP25" s="78"/>
    </row>
    <row r="26" spans="2:42" ht="20.25" customHeight="1">
      <c r="B26" s="71"/>
      <c r="C26" s="202">
        <v>27</v>
      </c>
      <c r="D26" s="1">
        <v>28</v>
      </c>
      <c r="E26" s="1">
        <v>29</v>
      </c>
      <c r="F26" s="1">
        <v>30</v>
      </c>
      <c r="G26" s="1"/>
      <c r="H26" s="1"/>
      <c r="I26" s="1"/>
      <c r="J26" s="192"/>
      <c r="K26" s="194">
        <v>25</v>
      </c>
      <c r="L26" s="1">
        <v>26</v>
      </c>
      <c r="M26" s="1">
        <v>27</v>
      </c>
      <c r="N26" s="1">
        <v>28</v>
      </c>
      <c r="O26" s="1">
        <v>29</v>
      </c>
      <c r="P26" s="1">
        <v>30</v>
      </c>
      <c r="Q26" s="203">
        <v>31</v>
      </c>
      <c r="R26" s="192"/>
      <c r="S26" s="1">
        <v>29</v>
      </c>
      <c r="T26" s="1">
        <v>30</v>
      </c>
      <c r="U26" s="1"/>
      <c r="V26" s="1"/>
      <c r="W26" s="1"/>
      <c r="X26" s="1"/>
      <c r="Y26" s="1"/>
      <c r="Z26" s="192"/>
      <c r="AA26" s="1">
        <v>27</v>
      </c>
      <c r="AB26" s="1">
        <v>28</v>
      </c>
      <c r="AC26" s="1">
        <v>29</v>
      </c>
      <c r="AD26" s="1">
        <v>30</v>
      </c>
      <c r="AE26" s="1">
        <v>31</v>
      </c>
      <c r="AF26" s="1"/>
      <c r="AG26" s="1"/>
      <c r="AH26" s="197"/>
      <c r="AI26" s="77"/>
      <c r="AJ26" s="77"/>
      <c r="AK26" s="77"/>
      <c r="AL26" s="77"/>
      <c r="AM26" s="77"/>
      <c r="AN26" s="77"/>
      <c r="AO26" s="77"/>
      <c r="AP26" s="77"/>
    </row>
    <row r="27" spans="2:42" ht="20.25" customHeight="1">
      <c r="B27" s="71"/>
      <c r="C27" s="77"/>
      <c r="D27" s="77"/>
      <c r="E27" s="77"/>
      <c r="F27" s="77"/>
      <c r="G27" s="77"/>
      <c r="H27" s="77"/>
      <c r="I27" s="77"/>
      <c r="J27" s="79"/>
      <c r="K27" s="77"/>
      <c r="L27" s="77"/>
      <c r="M27" s="77"/>
      <c r="N27" s="77"/>
      <c r="O27" s="77"/>
      <c r="P27" s="77"/>
      <c r="Q27" s="77"/>
      <c r="R27" s="79"/>
      <c r="S27" s="78"/>
      <c r="T27" s="77"/>
      <c r="U27" s="77"/>
      <c r="V27" s="77"/>
      <c r="W27" s="77"/>
      <c r="X27" s="77"/>
      <c r="Y27" s="77"/>
      <c r="Z27" s="79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</row>
    <row r="28" spans="2:42" ht="20.25" customHeight="1">
      <c r="C28" s="75"/>
      <c r="D28" s="76" t="s">
        <v>159</v>
      </c>
      <c r="H28" s="182"/>
      <c r="I28" t="s">
        <v>160</v>
      </c>
      <c r="S28" s="76" t="s">
        <v>161</v>
      </c>
    </row>
    <row r="29" spans="2:42" ht="20.25" customHeight="1">
      <c r="C29" s="181"/>
      <c r="D29" t="s">
        <v>162</v>
      </c>
      <c r="H29" s="80"/>
      <c r="I29" s="76" t="s">
        <v>163</v>
      </c>
      <c r="T29" s="76" t="s">
        <v>164</v>
      </c>
    </row>
    <row r="30" spans="2:42" ht="20.25" customHeight="1">
      <c r="C30" s="183"/>
      <c r="D30" t="s">
        <v>165</v>
      </c>
      <c r="H30" s="81"/>
      <c r="I30" s="76" t="s">
        <v>166</v>
      </c>
      <c r="T30" s="76" t="s">
        <v>167</v>
      </c>
    </row>
    <row r="31" spans="2:42" ht="20.25" customHeight="1">
      <c r="C31" s="185"/>
      <c r="D31" t="s">
        <v>168</v>
      </c>
      <c r="H31" s="76"/>
      <c r="I31" s="76"/>
      <c r="T31" s="76" t="s">
        <v>169</v>
      </c>
    </row>
    <row r="32" spans="2:42" ht="20.25" customHeight="1">
      <c r="C32" s="184"/>
      <c r="D32" t="s">
        <v>170</v>
      </c>
      <c r="F32" s="78"/>
      <c r="G32" s="78"/>
      <c r="H32" s="78"/>
    </row>
    <row r="33" spans="5:8" ht="9.75" customHeight="1">
      <c r="F33" s="77"/>
      <c r="G33" s="77"/>
      <c r="H33" s="77"/>
    </row>
    <row r="34" spans="5:8" ht="20.25" customHeight="1">
      <c r="F34" s="77"/>
      <c r="G34" s="77"/>
      <c r="H34" s="77"/>
    </row>
    <row r="35" spans="5:8" ht="20.25" customHeight="1">
      <c r="E35" s="73"/>
      <c r="F35" s="73"/>
      <c r="G35" s="73"/>
      <c r="H35" s="73"/>
    </row>
    <row r="36" spans="5:8" ht="20.25" customHeight="1">
      <c r="E36" s="74"/>
      <c r="F36" s="74"/>
      <c r="G36" s="74"/>
      <c r="H36" s="74"/>
    </row>
    <row r="37" spans="5:8" ht="20.25" customHeight="1"/>
    <row r="38" spans="5:8" ht="20.25" customHeight="1"/>
    <row r="39" spans="5:8" ht="20.25" customHeight="1"/>
    <row r="40" spans="5:8" ht="20.25" customHeight="1"/>
    <row r="41" spans="5:8" ht="20.25" customHeight="1"/>
    <row r="42" spans="5:8" ht="20.25" customHeight="1"/>
    <row r="43" spans="5:8" ht="20.25" customHeight="1"/>
    <row r="44" spans="5:8" ht="20.25" customHeight="1"/>
  </sheetData>
  <mergeCells count="2">
    <mergeCell ref="C2:AG2"/>
    <mergeCell ref="C3:AG3"/>
  </mergeCells>
  <pageMargins left="0.511811024" right="0.511811024" top="0.78740157499999996" bottom="0.78740157499999996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E3A3-0A70-416D-A346-6158B5C6B4F9}">
  <dimension ref="B2:R2"/>
  <sheetViews>
    <sheetView showGridLines="0" zoomScaleNormal="100" workbookViewId="0">
      <selection activeCell="T33" sqref="T33"/>
    </sheetView>
  </sheetViews>
  <sheetFormatPr defaultRowHeight="14.45"/>
  <cols>
    <col min="1" max="1" width="1.7109375" customWidth="1"/>
    <col min="19" max="19" width="1.7109375" customWidth="1"/>
  </cols>
  <sheetData>
    <row r="2" spans="2:18" ht="60" customHeight="1">
      <c r="B2" s="561" t="s">
        <v>171</v>
      </c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</row>
  </sheetData>
  <mergeCells count="1">
    <mergeCell ref="B2:R2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D52"/>
  <sheetViews>
    <sheetView showGridLines="0" topLeftCell="A5" zoomScale="85" zoomScaleNormal="85" workbookViewId="0">
      <selection activeCell="E22" sqref="B16:E22"/>
    </sheetView>
  </sheetViews>
  <sheetFormatPr defaultColWidth="13.5703125" defaultRowHeight="17.100000000000001" customHeight="1"/>
  <cols>
    <col min="1" max="1" width="1.5703125" style="6" customWidth="1"/>
    <col min="2" max="9" width="19.5703125" style="6" customWidth="1"/>
    <col min="10" max="11" width="1.5703125" style="6" customWidth="1"/>
    <col min="12" max="12" width="13.5703125" style="34"/>
    <col min="13" max="13" width="1.5703125" style="6" customWidth="1"/>
    <col min="14" max="30" width="13.5703125" style="7"/>
    <col min="31" max="16384" width="13.5703125" style="6"/>
  </cols>
  <sheetData>
    <row r="1" spans="2:12" ht="6.95" customHeight="1" thickBot="1"/>
    <row r="2" spans="2:12" ht="30.95" customHeight="1">
      <c r="B2" s="562" t="s">
        <v>172</v>
      </c>
      <c r="C2" s="563"/>
      <c r="D2" s="564"/>
      <c r="E2" s="571" t="s">
        <v>33</v>
      </c>
      <c r="F2" s="8" t="s">
        <v>35</v>
      </c>
      <c r="G2" s="8" t="s">
        <v>36</v>
      </c>
      <c r="H2" s="8" t="s">
        <v>173</v>
      </c>
      <c r="I2" s="9" t="s">
        <v>174</v>
      </c>
      <c r="L2" s="34" t="s">
        <v>175</v>
      </c>
    </row>
    <row r="3" spans="2:12" ht="23.1" customHeight="1">
      <c r="B3" s="565"/>
      <c r="C3" s="566"/>
      <c r="D3" s="567"/>
      <c r="E3" s="572"/>
      <c r="F3" s="10">
        <v>44927</v>
      </c>
      <c r="G3" s="11">
        <v>1129945.3</v>
      </c>
      <c r="H3" s="12">
        <v>107</v>
      </c>
      <c r="I3" s="13">
        <f>IF(H3="","",G3/H3)</f>
        <v>10560.236448598131</v>
      </c>
      <c r="L3" s="35">
        <f>F18</f>
        <v>-256856.65124127158</v>
      </c>
    </row>
    <row r="4" spans="2:12" ht="23.1" customHeight="1">
      <c r="B4" s="565"/>
      <c r="C4" s="566"/>
      <c r="D4" s="567"/>
      <c r="E4" s="572"/>
      <c r="F4" s="14">
        <v>44958</v>
      </c>
      <c r="G4" s="15">
        <v>1286464.92</v>
      </c>
      <c r="H4" s="16">
        <v>115</v>
      </c>
      <c r="I4" s="17">
        <f>IF(H4="","",G4/H4)</f>
        <v>11186.651478260868</v>
      </c>
      <c r="L4" s="35">
        <f t="shared" ref="L4:L14" si="0">F19</f>
        <v>-74151.250072148323</v>
      </c>
    </row>
    <row r="5" spans="2:12" ht="23.1" customHeight="1">
      <c r="B5" s="565"/>
      <c r="C5" s="566"/>
      <c r="D5" s="567"/>
      <c r="E5" s="572"/>
      <c r="F5" s="14">
        <v>44986</v>
      </c>
      <c r="G5" s="15">
        <v>1452465.7</v>
      </c>
      <c r="H5" s="16">
        <v>113</v>
      </c>
      <c r="I5" s="17">
        <f t="shared" ref="I5:I15" si="1">IF(H5="","",G5/H5)</f>
        <v>12853.678761061947</v>
      </c>
      <c r="L5" s="35">
        <f t="shared" si="0"/>
        <v>-94247.814784173141</v>
      </c>
    </row>
    <row r="6" spans="2:12" ht="23.1" customHeight="1">
      <c r="B6" s="565"/>
      <c r="C6" s="566"/>
      <c r="D6" s="567"/>
      <c r="E6" s="572"/>
      <c r="F6" s="14">
        <v>45017</v>
      </c>
      <c r="G6" s="15">
        <v>1269877.96</v>
      </c>
      <c r="H6" s="16">
        <v>102</v>
      </c>
      <c r="I6" s="17">
        <f t="shared" si="1"/>
        <v>12449.783921568627</v>
      </c>
      <c r="L6" s="35">
        <f t="shared" si="0"/>
        <v>69162.474165120773</v>
      </c>
    </row>
    <row r="7" spans="2:12" ht="23.1" customHeight="1">
      <c r="B7" s="565"/>
      <c r="C7" s="566"/>
      <c r="D7" s="567"/>
      <c r="E7" s="572"/>
      <c r="F7" s="14">
        <v>45047</v>
      </c>
      <c r="G7" s="15">
        <v>1516636.7000000002</v>
      </c>
      <c r="H7" s="16">
        <v>112</v>
      </c>
      <c r="I7" s="17">
        <f t="shared" si="1"/>
        <v>13541.399107142859</v>
      </c>
      <c r="L7" s="35" t="str">
        <f t="shared" si="0"/>
        <v/>
      </c>
    </row>
    <row r="8" spans="2:12" ht="23.1" customHeight="1">
      <c r="B8" s="565"/>
      <c r="C8" s="566"/>
      <c r="D8" s="567"/>
      <c r="E8" s="572"/>
      <c r="F8" s="14">
        <v>45078</v>
      </c>
      <c r="G8" s="15">
        <v>1464550.3699999999</v>
      </c>
      <c r="H8" s="16">
        <v>112.38</v>
      </c>
      <c r="I8" s="17">
        <f t="shared" si="1"/>
        <v>13032.126445986831</v>
      </c>
      <c r="L8" s="35" t="str">
        <f t="shared" si="0"/>
        <v/>
      </c>
    </row>
    <row r="9" spans="2:12" ht="23.1" customHeight="1">
      <c r="B9" s="565"/>
      <c r="C9" s="566"/>
      <c r="D9" s="567"/>
      <c r="E9" s="572"/>
      <c r="F9" s="14">
        <v>45108</v>
      </c>
      <c r="G9" s="15">
        <v>1507031.6899999997</v>
      </c>
      <c r="H9" s="16">
        <v>112.619</v>
      </c>
      <c r="I9" s="17">
        <f t="shared" si="1"/>
        <v>13381.682398174373</v>
      </c>
      <c r="L9" s="35" t="str">
        <f t="shared" si="0"/>
        <v/>
      </c>
    </row>
    <row r="10" spans="2:12" ht="23.1" customHeight="1">
      <c r="B10" s="565"/>
      <c r="C10" s="566"/>
      <c r="D10" s="567"/>
      <c r="E10" s="572"/>
      <c r="F10" s="14">
        <v>45139</v>
      </c>
      <c r="G10" s="15">
        <v>1391727.88</v>
      </c>
      <c r="H10" s="16">
        <v>117.17400000000001</v>
      </c>
      <c r="I10" s="17">
        <f t="shared" si="1"/>
        <v>11877.44619113455</v>
      </c>
      <c r="L10" s="35" t="str">
        <f t="shared" si="0"/>
        <v/>
      </c>
    </row>
    <row r="11" spans="2:12" ht="23.1" customHeight="1">
      <c r="B11" s="565"/>
      <c r="C11" s="566"/>
      <c r="D11" s="567"/>
      <c r="E11" s="572"/>
      <c r="F11" s="14">
        <v>45170</v>
      </c>
      <c r="G11" s="15">
        <v>1228016.1499999999</v>
      </c>
      <c r="H11" s="16">
        <v>119</v>
      </c>
      <c r="I11" s="17">
        <f t="shared" si="1"/>
        <v>10319.463445378151</v>
      </c>
      <c r="L11" s="35" t="str">
        <f t="shared" si="0"/>
        <v/>
      </c>
    </row>
    <row r="12" spans="2:12" ht="23.1" customHeight="1">
      <c r="B12" s="565"/>
      <c r="C12" s="566"/>
      <c r="D12" s="567"/>
      <c r="E12" s="572"/>
      <c r="F12" s="14">
        <v>45200</v>
      </c>
      <c r="G12" s="15">
        <v>1536054.88</v>
      </c>
      <c r="H12" s="16">
        <v>120</v>
      </c>
      <c r="I12" s="17">
        <f t="shared" si="1"/>
        <v>12800.457333333332</v>
      </c>
      <c r="L12" s="35" t="str">
        <f t="shared" si="0"/>
        <v/>
      </c>
    </row>
    <row r="13" spans="2:12" ht="23.1" customHeight="1">
      <c r="B13" s="565"/>
      <c r="C13" s="566"/>
      <c r="D13" s="567"/>
      <c r="E13" s="572"/>
      <c r="F13" s="14">
        <v>45231</v>
      </c>
      <c r="G13" s="15">
        <v>1418259.68</v>
      </c>
      <c r="H13" s="16">
        <v>119</v>
      </c>
      <c r="I13" s="17">
        <f t="shared" si="1"/>
        <v>11918.14857142857</v>
      </c>
      <c r="L13" s="35" t="str">
        <f t="shared" si="0"/>
        <v/>
      </c>
    </row>
    <row r="14" spans="2:12" ht="23.1" customHeight="1">
      <c r="B14" s="565"/>
      <c r="C14" s="566"/>
      <c r="D14" s="567"/>
      <c r="E14" s="572"/>
      <c r="F14" s="14">
        <v>45261</v>
      </c>
      <c r="G14" s="15">
        <v>918650.63</v>
      </c>
      <c r="H14" s="16">
        <v>104.85</v>
      </c>
      <c r="I14" s="17">
        <f t="shared" si="1"/>
        <v>8761.5701478302344</v>
      </c>
      <c r="L14" s="35" t="str">
        <f t="shared" si="0"/>
        <v/>
      </c>
    </row>
    <row r="15" spans="2:12" ht="23.1" customHeight="1">
      <c r="B15" s="568"/>
      <c r="C15" s="569"/>
      <c r="D15" s="570"/>
      <c r="E15" s="573"/>
      <c r="F15" s="29" t="s">
        <v>176</v>
      </c>
      <c r="G15" s="30">
        <f>IF(SUM(G3:G14)=0,"",AVERAGE(G3:G14))</f>
        <v>1343306.8216666668</v>
      </c>
      <c r="H15" s="31">
        <f>IF(SUM(H3:H14)=0,"",AVERAGE(H3:H14))</f>
        <v>112.83524999999999</v>
      </c>
      <c r="I15" s="32">
        <f t="shared" si="1"/>
        <v>11905.028097750188</v>
      </c>
      <c r="L15" s="35"/>
    </row>
    <row r="16" spans="2:12" ht="21" customHeight="1">
      <c r="B16" s="576" t="s">
        <v>35</v>
      </c>
      <c r="C16" s="578" t="s">
        <v>36</v>
      </c>
      <c r="D16" s="580" t="s">
        <v>173</v>
      </c>
      <c r="E16" s="581" t="s">
        <v>177</v>
      </c>
      <c r="F16" s="574" t="s">
        <v>38</v>
      </c>
      <c r="G16" s="574"/>
      <c r="H16" s="574"/>
      <c r="I16" s="575"/>
      <c r="L16" s="43">
        <f>AVERAGE(C18:C21)</f>
        <v>1365533.0225</v>
      </c>
    </row>
    <row r="17" spans="2:12" ht="21" customHeight="1">
      <c r="B17" s="577"/>
      <c r="C17" s="579"/>
      <c r="D17" s="491"/>
      <c r="E17" s="582"/>
      <c r="F17" s="37" t="s">
        <v>178</v>
      </c>
      <c r="G17" s="37" t="s">
        <v>39</v>
      </c>
      <c r="H17" s="37" t="s">
        <v>40</v>
      </c>
      <c r="I17" s="38" t="s">
        <v>41</v>
      </c>
      <c r="L17" s="44">
        <f>(L16-G15)/G15</f>
        <v>1.6545885478164039E-2</v>
      </c>
    </row>
    <row r="18" spans="2:12" ht="21" customHeight="1">
      <c r="B18" s="18">
        <v>45292</v>
      </c>
      <c r="C18" s="5">
        <v>1112221.58</v>
      </c>
      <c r="D18" s="39">
        <v>115</v>
      </c>
      <c r="E18" s="11">
        <f>IF(C18="","",C18/D18)</f>
        <v>9671.4920000000002</v>
      </c>
      <c r="F18" s="19">
        <f>IF(E18="","",((E18-$I$15))*D18)</f>
        <v>-256856.65124127158</v>
      </c>
      <c r="G18" s="20">
        <f>IF(F18="","",F18)</f>
        <v>-256856.65124127158</v>
      </c>
      <c r="H18" s="20">
        <f>IF(F18="","",AVERAGE(F18:F18))</f>
        <v>-256856.65124127158</v>
      </c>
      <c r="I18" s="21">
        <f t="shared" ref="I18:I29" si="2">IF(H18="","",(H18*12))</f>
        <v>-3082279.8148952592</v>
      </c>
      <c r="L18" s="35"/>
    </row>
    <row r="19" spans="2:12" ht="21" customHeight="1">
      <c r="B19" s="22">
        <v>45324</v>
      </c>
      <c r="C19" s="5">
        <v>1396119.72</v>
      </c>
      <c r="D19" s="40">
        <v>123.5</v>
      </c>
      <c r="E19" s="41">
        <f>IF(C19="","",C19/D19)</f>
        <v>11304.613117408906</v>
      </c>
      <c r="F19" s="42">
        <f>IF(E19="","",((E19-$I$15))*D19)</f>
        <v>-74151.250072148323</v>
      </c>
      <c r="G19" s="20">
        <f>IF(F19="","",F19)</f>
        <v>-74151.250072148323</v>
      </c>
      <c r="H19" s="20">
        <f>IF(F19="","",AVERAGE(F19:F19))</f>
        <v>-74151.250072148323</v>
      </c>
      <c r="I19" s="21">
        <f t="shared" si="2"/>
        <v>-889815.00086577982</v>
      </c>
      <c r="L19" s="35"/>
    </row>
    <row r="20" spans="2:12" ht="21" customHeight="1">
      <c r="B20" s="22">
        <v>45356</v>
      </c>
      <c r="C20" s="5">
        <v>1365308.63</v>
      </c>
      <c r="D20" s="40">
        <v>122.6</v>
      </c>
      <c r="E20" s="15">
        <f t="shared" ref="E20:E27" si="3">IF(C20="","",C20/D20)</f>
        <v>11136.285725938009</v>
      </c>
      <c r="F20" s="23">
        <f>IF(E20="","",((E20-$I$15))*D20)</f>
        <v>-94247.814784173141</v>
      </c>
      <c r="G20" s="23">
        <f>IF(F20="","",F20+G19)</f>
        <v>-168399.06485632146</v>
      </c>
      <c r="H20" s="23">
        <f>IF(F20="","",AVERAGE(F18:F20))</f>
        <v>-141751.90536586437</v>
      </c>
      <c r="I20" s="24">
        <f t="shared" si="2"/>
        <v>-1701022.8643903723</v>
      </c>
      <c r="L20" s="47"/>
    </row>
    <row r="21" spans="2:12" ht="21" customHeight="1">
      <c r="B21" s="22">
        <v>45388</v>
      </c>
      <c r="C21" s="5">
        <v>1588482.16</v>
      </c>
      <c r="D21" s="16">
        <v>127.62</v>
      </c>
      <c r="E21" s="15">
        <f t="shared" si="3"/>
        <v>12446.968813665568</v>
      </c>
      <c r="F21" s="23">
        <f t="shared" ref="F21:F27" si="4">IF(E21="","",((E21-$I$15))*D21)</f>
        <v>69162.474165120773</v>
      </c>
      <c r="G21" s="23">
        <f>IF(F21="","",F21+G20)</f>
        <v>-99236.59069120069</v>
      </c>
      <c r="H21" s="23">
        <f>IF(F21="","",AVERAGE(F18:F21))</f>
        <v>-89023.310483118083</v>
      </c>
      <c r="I21" s="24">
        <f t="shared" si="2"/>
        <v>-1068279.7257974171</v>
      </c>
      <c r="L21" s="35"/>
    </row>
    <row r="22" spans="2:12" ht="21" customHeight="1">
      <c r="B22" s="22">
        <v>45420</v>
      </c>
      <c r="C22" s="5"/>
      <c r="D22" s="16"/>
      <c r="E22" s="15" t="str">
        <f t="shared" si="3"/>
        <v/>
      </c>
      <c r="F22" s="23" t="str">
        <f>IF(E22="","",((E22-$I$15))*D22)</f>
        <v/>
      </c>
      <c r="G22" s="23" t="str">
        <f t="shared" ref="G22:G27" si="5">IF(F22="","",F22+G21)</f>
        <v/>
      </c>
      <c r="H22" s="23" t="str">
        <f>IF(F22="","",AVERAGE(F18:F22))</f>
        <v/>
      </c>
      <c r="I22" s="24" t="str">
        <f t="shared" si="2"/>
        <v/>
      </c>
      <c r="L22" s="35"/>
    </row>
    <row r="23" spans="2:12" ht="21" customHeight="1">
      <c r="B23" s="22">
        <v>45452</v>
      </c>
      <c r="C23" s="5"/>
      <c r="D23" s="16"/>
      <c r="E23" s="15" t="str">
        <f t="shared" si="3"/>
        <v/>
      </c>
      <c r="F23" s="23" t="str">
        <f t="shared" si="4"/>
        <v/>
      </c>
      <c r="G23" s="23" t="str">
        <f t="shared" si="5"/>
        <v/>
      </c>
      <c r="H23" s="23" t="str">
        <f>IF(F23="","",AVERAGE(F18:F23))</f>
        <v/>
      </c>
      <c r="I23" s="24" t="str">
        <f t="shared" si="2"/>
        <v/>
      </c>
    </row>
    <row r="24" spans="2:12" ht="21" customHeight="1">
      <c r="B24" s="22">
        <v>45484</v>
      </c>
      <c r="C24" s="5"/>
      <c r="D24" s="40"/>
      <c r="E24" s="15" t="str">
        <f t="shared" si="3"/>
        <v/>
      </c>
      <c r="F24" s="23" t="str">
        <f t="shared" si="4"/>
        <v/>
      </c>
      <c r="G24" s="23" t="str">
        <f t="shared" si="5"/>
        <v/>
      </c>
      <c r="H24" s="23" t="str">
        <f>IF(F24="","",AVERAGE(F18:F24))</f>
        <v/>
      </c>
      <c r="I24" s="24" t="str">
        <f t="shared" si="2"/>
        <v/>
      </c>
    </row>
    <row r="25" spans="2:12" ht="21" customHeight="1">
      <c r="B25" s="22">
        <v>45516</v>
      </c>
      <c r="C25" s="5"/>
      <c r="D25" s="40"/>
      <c r="E25" s="15" t="str">
        <f t="shared" si="3"/>
        <v/>
      </c>
      <c r="F25" s="23" t="str">
        <f t="shared" si="4"/>
        <v/>
      </c>
      <c r="G25" s="23" t="str">
        <f t="shared" si="5"/>
        <v/>
      </c>
      <c r="H25" s="23" t="str">
        <f>IF(F25="","",AVERAGE(F18:F25))</f>
        <v/>
      </c>
      <c r="I25" s="24" t="str">
        <f t="shared" si="2"/>
        <v/>
      </c>
    </row>
    <row r="26" spans="2:12" ht="21" customHeight="1">
      <c r="B26" s="22">
        <v>45548</v>
      </c>
      <c r="C26" s="5"/>
      <c r="D26" s="40"/>
      <c r="E26" s="15" t="str">
        <f t="shared" si="3"/>
        <v/>
      </c>
      <c r="F26" s="23" t="str">
        <f t="shared" si="4"/>
        <v/>
      </c>
      <c r="G26" s="23" t="str">
        <f>IF(F26="","",F26+G25)</f>
        <v/>
      </c>
      <c r="H26" s="23" t="str">
        <f>IF(F26="","",AVERAGE(F18:F26))</f>
        <v/>
      </c>
      <c r="I26" s="24" t="str">
        <f t="shared" si="2"/>
        <v/>
      </c>
    </row>
    <row r="27" spans="2:12" ht="21" customHeight="1">
      <c r="B27" s="22">
        <v>45580</v>
      </c>
      <c r="C27" s="5"/>
      <c r="D27" s="40"/>
      <c r="E27" s="15" t="str">
        <f t="shared" si="3"/>
        <v/>
      </c>
      <c r="F27" s="23" t="str">
        <f t="shared" si="4"/>
        <v/>
      </c>
      <c r="G27" s="23" t="str">
        <f t="shared" si="5"/>
        <v/>
      </c>
      <c r="H27" s="23" t="str">
        <f>IF(F27="","",AVERAGE(F18:F27))</f>
        <v/>
      </c>
      <c r="I27" s="24" t="str">
        <f t="shared" si="2"/>
        <v/>
      </c>
    </row>
    <row r="28" spans="2:12" ht="21" customHeight="1">
      <c r="B28" s="22">
        <v>45612</v>
      </c>
      <c r="C28" s="5"/>
      <c r="D28" s="40"/>
      <c r="E28" s="15" t="str">
        <f>IF(C28="","",C28/D28)</f>
        <v/>
      </c>
      <c r="F28" s="23" t="str">
        <f>IF(E28="","",((E28-$I$15))*D28)</f>
        <v/>
      </c>
      <c r="G28" s="23" t="str">
        <f>IF(F28="","",F28+G27)</f>
        <v/>
      </c>
      <c r="H28" s="23" t="str">
        <f>IF(F28="","",AVERAGE(F18:F28))</f>
        <v/>
      </c>
      <c r="I28" s="24" t="str">
        <f t="shared" si="2"/>
        <v/>
      </c>
    </row>
    <row r="29" spans="2:12" ht="21" customHeight="1" thickBot="1">
      <c r="B29" s="25">
        <v>45644</v>
      </c>
      <c r="C29" s="26"/>
      <c r="D29" s="45"/>
      <c r="E29" s="27" t="str">
        <f>IF(C29="","",C29/D29)</f>
        <v/>
      </c>
      <c r="F29" s="26" t="str">
        <f>IF(E29="","",((E29-$I$15))*D29)</f>
        <v/>
      </c>
      <c r="G29" s="26" t="str">
        <f>IF(F29="","",F29+G28)</f>
        <v/>
      </c>
      <c r="H29" s="26" t="str">
        <f>IF(F29="","",AVERAGE(F18:F29))</f>
        <v/>
      </c>
      <c r="I29" s="28" t="str">
        <f t="shared" si="2"/>
        <v/>
      </c>
    </row>
    <row r="30" spans="2:12" ht="6.95" customHeight="1"/>
    <row r="38" ht="6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</sheetData>
  <mergeCells count="7">
    <mergeCell ref="B2:D15"/>
    <mergeCell ref="E2:E15"/>
    <mergeCell ref="F16:I16"/>
    <mergeCell ref="B16:B17"/>
    <mergeCell ref="C16:C17"/>
    <mergeCell ref="D16:D17"/>
    <mergeCell ref="E16:E17"/>
  </mergeCells>
  <conditionalFormatting sqref="C18:C20">
    <cfRule type="cellIs" dxfId="0" priority="1" operator="equal">
      <formula>0</formula>
    </cfRule>
  </conditionalFormatting>
  <printOptions horizontalCentered="1"/>
  <pageMargins left="0.19685039370078741" right="0.19685039370078741" top="0.19685039370078741" bottom="0.19685039370078741" header="0" footer="0"/>
  <pageSetup paperSize="9" scale="74" orientation="landscape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B44EBAEF1C74B93B50996E077E34A" ma:contentTypeVersion="17" ma:contentTypeDescription="Create a new document." ma:contentTypeScope="" ma:versionID="3644d048f7d735fb3212143077aa36fb">
  <xsd:schema xmlns:xsd="http://www.w3.org/2001/XMLSchema" xmlns:xs="http://www.w3.org/2001/XMLSchema" xmlns:p="http://schemas.microsoft.com/office/2006/metadata/properties" xmlns:ns2="4f8fd755-f73f-492c-a91b-4fddd6a0b82a" xmlns:ns3="c1a23f14-ec00-41c1-94d8-a28a7b83d08b" targetNamespace="http://schemas.microsoft.com/office/2006/metadata/properties" ma:root="true" ma:fieldsID="9ce0e6cb8eb5e000c3be018e9dc12d09" ns2:_="" ns3:_="">
    <xsd:import namespace="4f8fd755-f73f-492c-a91b-4fddd6a0b82a"/>
    <xsd:import namespace="c1a23f14-ec00-41c1-94d8-a28a7b83d08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fd755-f73f-492c-a91b-4fddd6a0b82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fd87d54-68fd-44ec-b8e5-ca5f740e2a4e}" ma:internalName="TaxCatchAll" ma:showField="CatchAllData" ma:web="4f8fd755-f73f-492c-a91b-4fddd6a0b8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23f14-ec00-41c1-94d8-a28a7b83d0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be603d9-d412-45f1-9893-d58fb158b2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8fd755-f73f-492c-a91b-4fddd6a0b82a" xsi:nil="true"/>
    <lcf76f155ced4ddcb4097134ff3c332f xmlns="c1a23f14-ec00-41c1-94d8-a28a7b83d08b">
      <Terms xmlns="http://schemas.microsoft.com/office/infopath/2007/PartnerControls"/>
    </lcf76f155ced4ddcb4097134ff3c332f>
    <MediaLengthInSeconds xmlns="c1a23f14-ec00-41c1-94d8-a28a7b83d08b" xsi:nil="true"/>
    <_Flow_SignoffStatus xmlns="c1a23f14-ec00-41c1-94d8-a28a7b83d08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E4FB05-2C88-4B00-A35E-B75E99488142}"/>
</file>

<file path=customXml/itemProps2.xml><?xml version="1.0" encoding="utf-8"?>
<ds:datastoreItem xmlns:ds="http://schemas.openxmlformats.org/officeDocument/2006/customXml" ds:itemID="{B916851B-DE52-419B-91B4-7BB66FF6797E}"/>
</file>

<file path=customXml/itemProps3.xml><?xml version="1.0" encoding="utf-8"?>
<ds:datastoreItem xmlns:ds="http://schemas.openxmlformats.org/officeDocument/2006/customXml" ds:itemID="{BB2F6C20-69B5-40BD-A0FA-D472FA727C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RAFHAEL</dc:creator>
  <cp:keywords/>
  <dc:description/>
  <cp:lastModifiedBy/>
  <cp:revision/>
  <dcterms:created xsi:type="dcterms:W3CDTF">2019-09-02T12:09:22Z</dcterms:created>
  <dcterms:modified xsi:type="dcterms:W3CDTF">2026-07-06T13:44:23Z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0x010100C25B44EBAEF1C74B93B50996E077E34A</vt:lpwstr>
  </property>
  <property fmtid="{D5CDD505-2E9C-101B-9397-08002B2CF9AE}" pid="3" name="Order">
    <vt:r8>716300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