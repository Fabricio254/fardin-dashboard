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cesfardin.sharepoint.com/Shared Documents/02.Comercial/3. Indicadores/2026/"/>
    </mc:Choice>
  </mc:AlternateContent>
  <xr:revisionPtr revIDLastSave="0" documentId="8_{39A3E90D-6EB7-488F-955A-B7EE38009932}" xr6:coauthVersionLast="47" xr6:coauthVersionMax="47" xr10:uidLastSave="{00000000-0000-0000-0000-000000000000}"/>
  <bookViews>
    <workbookView xWindow="-108" yWindow="-108" windowWidth="23256" windowHeight="12456" tabRatio="595" firstSheet="6" activeTab="6" xr2:uid="{1C8EFFF7-025B-404B-8FB7-93A1585D6225}"/>
  </bookViews>
  <sheets>
    <sheet name="Plan. Vendas" sheetId="2" r:id="rId1"/>
    <sheet name="Fev26" sheetId="1" r:id="rId2"/>
    <sheet name="Mar26" sheetId="3" r:id="rId3"/>
    <sheet name="Abr26" sheetId="5" r:id="rId4"/>
    <sheet name="Mai26" sheetId="6" r:id="rId5"/>
    <sheet name="Jun26" sheetId="7" r:id="rId6"/>
    <sheet name="Jul26" sheetId="8" r:id="rId7"/>
  </sheets>
  <definedNames>
    <definedName name="_xlnm.Print_Area" localSheetId="3">'Abr26'!$A$1:$X$41</definedName>
    <definedName name="_xlnm.Print_Area" localSheetId="1">'Fev26'!$A$1:$X$41</definedName>
    <definedName name="_xlnm.Print_Area" localSheetId="5">'Jun26'!$A$1:$Y$41</definedName>
    <definedName name="_xlnm.Print_Area" localSheetId="6">'Jul26'!$A$1:$Y$41</definedName>
    <definedName name="_xlnm.Print_Area" localSheetId="4">'Mai26'!$A$1:$X$41</definedName>
    <definedName name="_xlnm.Print_Area" localSheetId="2">'Mar26'!$A$1:$X$41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8" l="1"/>
  <c r="W40" i="8"/>
  <c r="T40" i="8"/>
  <c r="E40" i="8"/>
  <c r="T39" i="8"/>
  <c r="T38" i="8"/>
  <c r="W37" i="8"/>
  <c r="T37" i="8"/>
  <c r="W36" i="8"/>
  <c r="T36" i="8"/>
  <c r="T35" i="8"/>
  <c r="T34" i="8"/>
  <c r="T33" i="8"/>
  <c r="T32" i="8"/>
  <c r="T31" i="8"/>
  <c r="W30" i="8"/>
  <c r="T30" i="8"/>
  <c r="W29" i="8"/>
  <c r="T29" i="8"/>
  <c r="T28" i="8"/>
  <c r="T27" i="8"/>
  <c r="T26" i="8"/>
  <c r="T25" i="8"/>
  <c r="T24" i="8"/>
  <c r="W23" i="8"/>
  <c r="T23" i="8"/>
  <c r="W22" i="8"/>
  <c r="T21" i="8"/>
  <c r="T20" i="8"/>
  <c r="T19" i="8"/>
  <c r="T18" i="8"/>
  <c r="T17" i="8"/>
  <c r="W16" i="8"/>
  <c r="T16" i="8"/>
  <c r="W15" i="8"/>
  <c r="T15" i="8"/>
  <c r="T14" i="8"/>
  <c r="W13" i="8"/>
  <c r="T13" i="8"/>
  <c r="T12" i="8"/>
  <c r="T11" i="8"/>
  <c r="B11" i="8"/>
  <c r="T10" i="8"/>
  <c r="I10" i="8"/>
  <c r="C10" i="8"/>
  <c r="S9" i="8"/>
  <c r="R9" i="8"/>
  <c r="Q9" i="8"/>
  <c r="P9" i="8"/>
  <c r="O9" i="8"/>
  <c r="N9" i="8"/>
  <c r="M9" i="8"/>
  <c r="L9" i="8"/>
  <c r="X5" i="8"/>
  <c r="H5" i="8"/>
  <c r="T19" i="7"/>
  <c r="T18" i="7"/>
  <c r="T16" i="7"/>
  <c r="T10" i="7"/>
  <c r="E12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10" i="7"/>
  <c r="R9" i="7"/>
  <c r="Q9" i="7"/>
  <c r="H44" i="7"/>
  <c r="W40" i="7"/>
  <c r="T40" i="7"/>
  <c r="T39" i="7"/>
  <c r="W39" i="7" s="1"/>
  <c r="T38" i="7"/>
  <c r="T37" i="7"/>
  <c r="T36" i="7"/>
  <c r="T35" i="7"/>
  <c r="T34" i="7"/>
  <c r="T33" i="7"/>
  <c r="W33" i="7" s="1"/>
  <c r="T32" i="7"/>
  <c r="W32" i="7" s="1"/>
  <c r="T31" i="7"/>
  <c r="T30" i="7"/>
  <c r="T29" i="7"/>
  <c r="T28" i="7"/>
  <c r="T27" i="7"/>
  <c r="T26" i="7"/>
  <c r="W26" i="7" s="1"/>
  <c r="T25" i="7"/>
  <c r="W25" i="7" s="1"/>
  <c r="T24" i="7"/>
  <c r="T23" i="7"/>
  <c r="T21" i="7"/>
  <c r="T20" i="7"/>
  <c r="W19" i="7"/>
  <c r="W18" i="7"/>
  <c r="T17" i="7"/>
  <c r="T15" i="7"/>
  <c r="T14" i="7"/>
  <c r="T13" i="7"/>
  <c r="T12" i="7"/>
  <c r="W12" i="7" s="1"/>
  <c r="T11" i="7"/>
  <c r="W11" i="7" s="1"/>
  <c r="B11" i="7"/>
  <c r="I10" i="7"/>
  <c r="F10" i="7"/>
  <c r="C10" i="7"/>
  <c r="S9" i="7"/>
  <c r="P9" i="7"/>
  <c r="O9" i="7"/>
  <c r="N9" i="7"/>
  <c r="M9" i="7"/>
  <c r="L9" i="7"/>
  <c r="X5" i="7"/>
  <c r="H5" i="7"/>
  <c r="H74" i="6"/>
  <c r="H45" i="6"/>
  <c r="J45" i="6"/>
  <c r="H46" i="6"/>
  <c r="J46" i="6"/>
  <c r="H47" i="6"/>
  <c r="J47" i="6"/>
  <c r="H48" i="6"/>
  <c r="J48" i="6"/>
  <c r="H49" i="6"/>
  <c r="J49" i="6"/>
  <c r="H50" i="6"/>
  <c r="J50" i="6"/>
  <c r="H51" i="6"/>
  <c r="J51" i="6"/>
  <c r="H52" i="6"/>
  <c r="J52" i="6"/>
  <c r="H53" i="6"/>
  <c r="J53" i="6"/>
  <c r="H54" i="6"/>
  <c r="J54" i="6"/>
  <c r="H55" i="6"/>
  <c r="J55" i="6"/>
  <c r="H56" i="6"/>
  <c r="J56" i="6"/>
  <c r="H57" i="6"/>
  <c r="J57" i="6"/>
  <c r="H58" i="6"/>
  <c r="J58" i="6"/>
  <c r="H59" i="6"/>
  <c r="J59" i="6"/>
  <c r="H60" i="6"/>
  <c r="J60" i="6"/>
  <c r="H61" i="6"/>
  <c r="J61" i="6"/>
  <c r="H62" i="6"/>
  <c r="J62" i="6"/>
  <c r="H63" i="6"/>
  <c r="J63" i="6"/>
  <c r="H64" i="6"/>
  <c r="J64" i="6"/>
  <c r="H65" i="6"/>
  <c r="J65" i="6"/>
  <c r="H66" i="6"/>
  <c r="J66" i="6"/>
  <c r="H67" i="6"/>
  <c r="J67" i="6"/>
  <c r="H68" i="6"/>
  <c r="J68" i="6"/>
  <c r="H69" i="6"/>
  <c r="J69" i="6"/>
  <c r="H70" i="6"/>
  <c r="J70" i="6"/>
  <c r="H71" i="6"/>
  <c r="J71" i="6"/>
  <c r="H72" i="6"/>
  <c r="H73" i="6"/>
  <c r="J44" i="6"/>
  <c r="H44" i="6"/>
  <c r="I13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1" i="5"/>
  <c r="E32" i="5"/>
  <c r="E33" i="5"/>
  <c r="E34" i="5"/>
  <c r="E35" i="5"/>
  <c r="E36" i="5"/>
  <c r="E37" i="5"/>
  <c r="E38" i="5"/>
  <c r="E39" i="5"/>
  <c r="E40" i="5"/>
  <c r="V40" i="6"/>
  <c r="S40" i="6"/>
  <c r="S39" i="6"/>
  <c r="S38" i="6"/>
  <c r="S37" i="6"/>
  <c r="S36" i="6"/>
  <c r="S35" i="6"/>
  <c r="V35" i="6" s="1"/>
  <c r="S34" i="6"/>
  <c r="V34" i="6" s="1"/>
  <c r="S33" i="6"/>
  <c r="S32" i="6"/>
  <c r="S31" i="6"/>
  <c r="S30" i="6"/>
  <c r="S29" i="6"/>
  <c r="S28" i="6"/>
  <c r="V28" i="6" s="1"/>
  <c r="S27" i="6"/>
  <c r="V27" i="6" s="1"/>
  <c r="S26" i="6"/>
  <c r="S25" i="6"/>
  <c r="S24" i="6"/>
  <c r="S23" i="6"/>
  <c r="S22" i="6"/>
  <c r="S21" i="6"/>
  <c r="V21" i="6" s="1"/>
  <c r="S20" i="6"/>
  <c r="V20" i="6" s="1"/>
  <c r="S19" i="6"/>
  <c r="S17" i="6"/>
  <c r="S16" i="6"/>
  <c r="S15" i="6"/>
  <c r="S14" i="6"/>
  <c r="S13" i="6"/>
  <c r="S12" i="6"/>
  <c r="S11" i="6"/>
  <c r="B11" i="6"/>
  <c r="S10" i="6"/>
  <c r="I10" i="6"/>
  <c r="C10" i="6"/>
  <c r="R9" i="6"/>
  <c r="Q9" i="6"/>
  <c r="P9" i="6"/>
  <c r="O9" i="6"/>
  <c r="N9" i="6"/>
  <c r="M9" i="6"/>
  <c r="L9" i="6"/>
  <c r="W5" i="6"/>
  <c r="H5" i="6"/>
  <c r="H5" i="5"/>
  <c r="V12" i="5"/>
  <c r="S40" i="5"/>
  <c r="S39" i="5"/>
  <c r="S38" i="5"/>
  <c r="V38" i="5" s="1"/>
  <c r="S37" i="5"/>
  <c r="S36" i="5"/>
  <c r="S35" i="5"/>
  <c r="S34" i="5"/>
  <c r="S33" i="5"/>
  <c r="S32" i="5"/>
  <c r="S31" i="5"/>
  <c r="V31" i="5" s="1"/>
  <c r="S30" i="5"/>
  <c r="V30" i="5" s="1"/>
  <c r="S29" i="5"/>
  <c r="S28" i="5"/>
  <c r="S27" i="5"/>
  <c r="S26" i="5"/>
  <c r="S25" i="5"/>
  <c r="S24" i="5"/>
  <c r="V24" i="5" s="1"/>
  <c r="S23" i="5"/>
  <c r="V23" i="5" s="1"/>
  <c r="S22" i="5"/>
  <c r="S21" i="5"/>
  <c r="S20" i="5"/>
  <c r="S19" i="5"/>
  <c r="S18" i="5"/>
  <c r="S17" i="5"/>
  <c r="V17" i="5" s="1"/>
  <c r="S16" i="5"/>
  <c r="V16" i="5" s="1"/>
  <c r="S15" i="5"/>
  <c r="S14" i="5"/>
  <c r="S13" i="5"/>
  <c r="S12" i="5"/>
  <c r="S11" i="5"/>
  <c r="B11" i="5"/>
  <c r="S10" i="5"/>
  <c r="I10" i="5"/>
  <c r="C10" i="5"/>
  <c r="R9" i="5"/>
  <c r="Q9" i="5"/>
  <c r="P9" i="5"/>
  <c r="O9" i="5"/>
  <c r="N9" i="5"/>
  <c r="M9" i="5"/>
  <c r="L9" i="5"/>
  <c r="W5" i="5"/>
  <c r="L35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12" i="3"/>
  <c r="W13" i="3"/>
  <c r="W14" i="3"/>
  <c r="W15" i="3"/>
  <c r="W16" i="3"/>
  <c r="W17" i="3"/>
  <c r="W11" i="3"/>
  <c r="L21" i="3"/>
  <c r="V23" i="3"/>
  <c r="V24" i="3"/>
  <c r="S40" i="3"/>
  <c r="V40" i="3" s="1"/>
  <c r="E40" i="3"/>
  <c r="S39" i="3"/>
  <c r="V39" i="3" s="1"/>
  <c r="V38" i="3"/>
  <c r="S38" i="3"/>
  <c r="S37" i="3"/>
  <c r="V37" i="3" s="1"/>
  <c r="S36" i="3"/>
  <c r="S35" i="3"/>
  <c r="S34" i="3"/>
  <c r="W34" i="3" s="1"/>
  <c r="W35" i="3" s="1"/>
  <c r="W36" i="3" s="1"/>
  <c r="W37" i="3" s="1"/>
  <c r="W38" i="3" s="1"/>
  <c r="W39" i="3" s="1"/>
  <c r="W40" i="3" s="1"/>
  <c r="S33" i="3"/>
  <c r="S32" i="3"/>
  <c r="V31" i="3"/>
  <c r="S31" i="3"/>
  <c r="V30" i="3"/>
  <c r="S30" i="3"/>
  <c r="S29" i="3"/>
  <c r="V29" i="3" s="1"/>
  <c r="S28" i="3"/>
  <c r="V28" i="3" s="1"/>
  <c r="S27" i="3"/>
  <c r="V27" i="3" s="1"/>
  <c r="S26" i="3"/>
  <c r="V26" i="3" s="1"/>
  <c r="S25" i="3"/>
  <c r="S24" i="3"/>
  <c r="S23" i="3"/>
  <c r="S22" i="3"/>
  <c r="S21" i="3"/>
  <c r="S20" i="3"/>
  <c r="S19" i="3"/>
  <c r="S18" i="3"/>
  <c r="V17" i="3"/>
  <c r="S17" i="3"/>
  <c r="S16" i="3"/>
  <c r="S15" i="3"/>
  <c r="S14" i="3"/>
  <c r="S13" i="3"/>
  <c r="S12" i="3"/>
  <c r="S11" i="3"/>
  <c r="B11" i="3"/>
  <c r="V10" i="3"/>
  <c r="S10" i="3"/>
  <c r="T10" i="3" s="1"/>
  <c r="U10" i="3" s="1"/>
  <c r="I10" i="3"/>
  <c r="C10" i="3"/>
  <c r="R9" i="3"/>
  <c r="Q9" i="3"/>
  <c r="P9" i="3"/>
  <c r="O9" i="3"/>
  <c r="N9" i="3"/>
  <c r="M9" i="3"/>
  <c r="L9" i="3"/>
  <c r="W5" i="3"/>
  <c r="H5" i="3"/>
  <c r="M9" i="1"/>
  <c r="L9" i="1"/>
  <c r="Y22" i="1"/>
  <c r="S15" i="1"/>
  <c r="W30" i="1"/>
  <c r="W31" i="1"/>
  <c r="W36" i="1"/>
  <c r="W37" i="1"/>
  <c r="W38" i="1"/>
  <c r="W39" i="1"/>
  <c r="W40" i="1"/>
  <c r="W17" i="1"/>
  <c r="W16" i="1"/>
  <c r="I10" i="1"/>
  <c r="I11" i="1" s="1"/>
  <c r="R9" i="1"/>
  <c r="I5" i="2"/>
  <c r="J5" i="2"/>
  <c r="K5" i="2" s="1"/>
  <c r="N9" i="1"/>
  <c r="O9" i="1"/>
  <c r="W5" i="1"/>
  <c r="S13" i="1"/>
  <c r="S14" i="1"/>
  <c r="S16" i="1"/>
  <c r="S17" i="1"/>
  <c r="S18" i="1"/>
  <c r="W18" i="1" s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W32" i="1" s="1"/>
  <c r="S33" i="1"/>
  <c r="W33" i="1" s="1"/>
  <c r="S34" i="1"/>
  <c r="S35" i="1"/>
  <c r="S36" i="1"/>
  <c r="S37" i="1"/>
  <c r="S38" i="1"/>
  <c r="S39" i="1"/>
  <c r="S40" i="1"/>
  <c r="S10" i="1"/>
  <c r="T10" i="1" s="1"/>
  <c r="S11" i="1"/>
  <c r="W11" i="1" s="1"/>
  <c r="S12" i="1"/>
  <c r="V10" i="1"/>
  <c r="Q9" i="1"/>
  <c r="P9" i="1"/>
  <c r="V4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E40" i="1"/>
  <c r="H5" i="1"/>
  <c r="I11" i="8" l="1"/>
  <c r="W10" i="8"/>
  <c r="U10" i="8"/>
  <c r="H45" i="8"/>
  <c r="B12" i="8"/>
  <c r="C11" i="8"/>
  <c r="W11" i="8"/>
  <c r="U11" i="8"/>
  <c r="W12" i="8"/>
  <c r="U12" i="8"/>
  <c r="U13" i="8"/>
  <c r="W14" i="8"/>
  <c r="U14" i="8"/>
  <c r="U15" i="8"/>
  <c r="U16" i="8"/>
  <c r="W17" i="8"/>
  <c r="U17" i="8"/>
  <c r="W18" i="8"/>
  <c r="U18" i="8"/>
  <c r="W19" i="8"/>
  <c r="U19" i="8"/>
  <c r="W20" i="8"/>
  <c r="U20" i="8"/>
  <c r="W21" i="8"/>
  <c r="U21" i="8"/>
  <c r="W24" i="8"/>
  <c r="W25" i="8"/>
  <c r="W26" i="8"/>
  <c r="W27" i="8"/>
  <c r="W28" i="8"/>
  <c r="W31" i="8"/>
  <c r="W32" i="8"/>
  <c r="W33" i="8"/>
  <c r="W34" i="8"/>
  <c r="W35" i="8"/>
  <c r="W38" i="8"/>
  <c r="W39" i="8"/>
  <c r="U10" i="7"/>
  <c r="U11" i="7" s="1"/>
  <c r="W10" i="7"/>
  <c r="I11" i="7"/>
  <c r="J44" i="7"/>
  <c r="H45" i="7"/>
  <c r="B12" i="7"/>
  <c r="C11" i="7"/>
  <c r="U12" i="7"/>
  <c r="W13" i="7"/>
  <c r="U13" i="7"/>
  <c r="W14" i="7"/>
  <c r="U14" i="7"/>
  <c r="W15" i="7"/>
  <c r="U15" i="7"/>
  <c r="W16" i="7"/>
  <c r="U16" i="7"/>
  <c r="W17" i="7"/>
  <c r="U17" i="7"/>
  <c r="U18" i="7" s="1"/>
  <c r="U19" i="7" s="1"/>
  <c r="W20" i="7"/>
  <c r="W21" i="7"/>
  <c r="W22" i="7"/>
  <c r="W23" i="7"/>
  <c r="W24" i="7"/>
  <c r="W27" i="7"/>
  <c r="W28" i="7"/>
  <c r="W29" i="7"/>
  <c r="W30" i="7"/>
  <c r="W31" i="7"/>
  <c r="W34" i="7"/>
  <c r="W35" i="7"/>
  <c r="W36" i="7"/>
  <c r="W37" i="7"/>
  <c r="W38" i="7"/>
  <c r="I11" i="6"/>
  <c r="V10" i="6"/>
  <c r="T10" i="6"/>
  <c r="B12" i="6"/>
  <c r="C11" i="6"/>
  <c r="W11" i="6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5" i="6" s="1"/>
  <c r="W26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V11" i="6"/>
  <c r="T11" i="6"/>
  <c r="V12" i="6"/>
  <c r="T12" i="6"/>
  <c r="V13" i="6"/>
  <c r="T13" i="6"/>
  <c r="V14" i="6"/>
  <c r="T14" i="6"/>
  <c r="V15" i="6"/>
  <c r="T15" i="6"/>
  <c r="V16" i="6"/>
  <c r="T16" i="6"/>
  <c r="V17" i="6"/>
  <c r="T17" i="6"/>
  <c r="V18" i="6"/>
  <c r="T18" i="6"/>
  <c r="V19" i="6"/>
  <c r="T19" i="6"/>
  <c r="T20" i="6"/>
  <c r="T21" i="6"/>
  <c r="V22" i="6"/>
  <c r="T22" i="6"/>
  <c r="V23" i="6"/>
  <c r="T23" i="6"/>
  <c r="V24" i="6"/>
  <c r="T24" i="6"/>
  <c r="V25" i="6"/>
  <c r="T25" i="6"/>
  <c r="V26" i="6"/>
  <c r="T26" i="6"/>
  <c r="T27" i="6"/>
  <c r="T28" i="6"/>
  <c r="V29" i="6"/>
  <c r="T29" i="6"/>
  <c r="V30" i="6"/>
  <c r="T30" i="6"/>
  <c r="V31" i="6"/>
  <c r="T31" i="6"/>
  <c r="V32" i="6"/>
  <c r="T32" i="6"/>
  <c r="V33" i="6"/>
  <c r="T33" i="6"/>
  <c r="T34" i="6"/>
  <c r="T35" i="6"/>
  <c r="V36" i="6"/>
  <c r="T36" i="6"/>
  <c r="V37" i="6"/>
  <c r="T37" i="6"/>
  <c r="V38" i="6"/>
  <c r="T38" i="6"/>
  <c r="J72" i="6" s="1"/>
  <c r="V39" i="6"/>
  <c r="T39" i="6"/>
  <c r="J73" i="6" s="1"/>
  <c r="T40" i="6"/>
  <c r="J74" i="6" s="1"/>
  <c r="T10" i="5"/>
  <c r="V10" i="5"/>
  <c r="I11" i="5"/>
  <c r="B12" i="5"/>
  <c r="C11" i="5"/>
  <c r="W11" i="5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V11" i="5"/>
  <c r="T11" i="5"/>
  <c r="T12" i="5"/>
  <c r="V13" i="5"/>
  <c r="T13" i="5"/>
  <c r="V14" i="5"/>
  <c r="T14" i="5"/>
  <c r="V15" i="5"/>
  <c r="T15" i="5"/>
  <c r="T16" i="5"/>
  <c r="T17" i="5"/>
  <c r="V18" i="5"/>
  <c r="T18" i="5"/>
  <c r="V19" i="5"/>
  <c r="T19" i="5"/>
  <c r="V20" i="5"/>
  <c r="T20" i="5"/>
  <c r="V21" i="5"/>
  <c r="T21" i="5"/>
  <c r="V22" i="5"/>
  <c r="T22" i="5"/>
  <c r="T23" i="5"/>
  <c r="T24" i="5"/>
  <c r="V25" i="5"/>
  <c r="T25" i="5"/>
  <c r="V26" i="5"/>
  <c r="T26" i="5"/>
  <c r="V27" i="5"/>
  <c r="T27" i="5"/>
  <c r="V28" i="5"/>
  <c r="T28" i="5"/>
  <c r="V29" i="5"/>
  <c r="T29" i="5"/>
  <c r="T30" i="5"/>
  <c r="T31" i="5"/>
  <c r="V32" i="5"/>
  <c r="T32" i="5"/>
  <c r="V33" i="5"/>
  <c r="T33" i="5"/>
  <c r="V34" i="5"/>
  <c r="T34" i="5"/>
  <c r="V35" i="5"/>
  <c r="T35" i="5"/>
  <c r="V36" i="5"/>
  <c r="T36" i="5"/>
  <c r="V37" i="5"/>
  <c r="T37" i="5"/>
  <c r="T38" i="5"/>
  <c r="V39" i="5"/>
  <c r="T39" i="5"/>
  <c r="V40" i="5"/>
  <c r="T40" i="5"/>
  <c r="V25" i="3"/>
  <c r="V16" i="3"/>
  <c r="I11" i="3"/>
  <c r="J10" i="3"/>
  <c r="B12" i="3"/>
  <c r="C11" i="3"/>
  <c r="V11" i="3"/>
  <c r="T11" i="3"/>
  <c r="V12" i="3"/>
  <c r="T12" i="3"/>
  <c r="V13" i="3"/>
  <c r="T13" i="3"/>
  <c r="V14" i="3"/>
  <c r="T14" i="3"/>
  <c r="V15" i="3"/>
  <c r="T15" i="3"/>
  <c r="T16" i="3"/>
  <c r="T17" i="3"/>
  <c r="V18" i="3"/>
  <c r="T18" i="3"/>
  <c r="V19" i="3"/>
  <c r="T19" i="3"/>
  <c r="V20" i="3"/>
  <c r="T20" i="3"/>
  <c r="V21" i="3"/>
  <c r="T21" i="3"/>
  <c r="V22" i="3"/>
  <c r="T22" i="3"/>
  <c r="T23" i="3"/>
  <c r="T24" i="3"/>
  <c r="T25" i="3"/>
  <c r="T26" i="3"/>
  <c r="T27" i="3"/>
  <c r="T28" i="3"/>
  <c r="T29" i="3"/>
  <c r="T30" i="3"/>
  <c r="T31" i="3"/>
  <c r="V32" i="3"/>
  <c r="T32" i="3"/>
  <c r="V33" i="3"/>
  <c r="T33" i="3"/>
  <c r="V34" i="3"/>
  <c r="T34" i="3"/>
  <c r="V35" i="3"/>
  <c r="T35" i="3"/>
  <c r="V36" i="3"/>
  <c r="T36" i="3"/>
  <c r="T37" i="3"/>
  <c r="T38" i="3"/>
  <c r="T39" i="3"/>
  <c r="T40" i="3"/>
  <c r="W12" i="1"/>
  <c r="W13" i="1" s="1"/>
  <c r="W14" i="1" s="1"/>
  <c r="W15" i="1" s="1"/>
  <c r="V26" i="1"/>
  <c r="W19" i="1"/>
  <c r="W20" i="1" s="1"/>
  <c r="W21" i="1" s="1"/>
  <c r="W22" i="1" s="1"/>
  <c r="W23" i="1" s="1"/>
  <c r="W34" i="1"/>
  <c r="W35" i="1" s="1"/>
  <c r="W24" i="1"/>
  <c r="W25" i="1" s="1"/>
  <c r="W26" i="1" s="1"/>
  <c r="W27" i="1" s="1"/>
  <c r="W28" i="1" s="1"/>
  <c r="W29" i="1" s="1"/>
  <c r="T11" i="1"/>
  <c r="T12" i="1" s="1"/>
  <c r="T13" i="1"/>
  <c r="J10" i="1"/>
  <c r="I12" i="1"/>
  <c r="I13" i="1" s="1"/>
  <c r="I14" i="1" s="1"/>
  <c r="I15" i="1" s="1"/>
  <c r="I16" i="1" s="1"/>
  <c r="I17" i="1" s="1"/>
  <c r="I18" i="1" s="1"/>
  <c r="I19" i="1" s="1"/>
  <c r="B11" i="1"/>
  <c r="J55" i="8" l="1"/>
  <c r="U22" i="8"/>
  <c r="J54" i="8"/>
  <c r="J53" i="8"/>
  <c r="J52" i="8"/>
  <c r="J51" i="8"/>
  <c r="J50" i="8"/>
  <c r="J49" i="8"/>
  <c r="J48" i="8"/>
  <c r="J47" i="8"/>
  <c r="J46" i="8"/>
  <c r="J45" i="8"/>
  <c r="H46" i="8"/>
  <c r="B13" i="8"/>
  <c r="C12" i="8"/>
  <c r="J44" i="8"/>
  <c r="I12" i="8"/>
  <c r="J51" i="7"/>
  <c r="J50" i="7"/>
  <c r="J49" i="7"/>
  <c r="J48" i="7"/>
  <c r="J47" i="7"/>
  <c r="J46" i="7"/>
  <c r="J45" i="7"/>
  <c r="H46" i="7"/>
  <c r="B13" i="7"/>
  <c r="C12" i="7"/>
  <c r="I12" i="7"/>
  <c r="B13" i="6"/>
  <c r="C12" i="6"/>
  <c r="I12" i="6"/>
  <c r="B13" i="5"/>
  <c r="C12" i="5"/>
  <c r="I12" i="5"/>
  <c r="B13" i="3"/>
  <c r="C12" i="3"/>
  <c r="I12" i="3"/>
  <c r="T14" i="1"/>
  <c r="I20" i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B12" i="1"/>
  <c r="I13" i="8" l="1"/>
  <c r="H47" i="8"/>
  <c r="B14" i="8"/>
  <c r="C13" i="8"/>
  <c r="J56" i="8"/>
  <c r="U23" i="8"/>
  <c r="I13" i="7"/>
  <c r="H47" i="7"/>
  <c r="B14" i="7"/>
  <c r="C13" i="7"/>
  <c r="J52" i="7"/>
  <c r="B14" i="6"/>
  <c r="C13" i="6"/>
  <c r="I13" i="5"/>
  <c r="B14" i="5"/>
  <c r="C13" i="5"/>
  <c r="I13" i="3"/>
  <c r="B14" i="3"/>
  <c r="C13" i="3"/>
  <c r="T15" i="1"/>
  <c r="C12" i="1"/>
  <c r="B13" i="1"/>
  <c r="C10" i="1"/>
  <c r="J57" i="8" l="1"/>
  <c r="U24" i="8"/>
  <c r="H48" i="8"/>
  <c r="B15" i="8"/>
  <c r="C14" i="8"/>
  <c r="I14" i="8"/>
  <c r="J53" i="7"/>
  <c r="U20" i="7"/>
  <c r="H48" i="7"/>
  <c r="B15" i="7"/>
  <c r="C14" i="7"/>
  <c r="I14" i="7"/>
  <c r="B15" i="6"/>
  <c r="C14" i="6"/>
  <c r="I14" i="6"/>
  <c r="B15" i="5"/>
  <c r="C14" i="5"/>
  <c r="I14" i="5"/>
  <c r="B15" i="3"/>
  <c r="C14" i="3"/>
  <c r="I14" i="3"/>
  <c r="T16" i="1"/>
  <c r="B14" i="1"/>
  <c r="C11" i="1"/>
  <c r="I15" i="8" l="1"/>
  <c r="H49" i="8"/>
  <c r="B16" i="8"/>
  <c r="C15" i="8"/>
  <c r="J58" i="8"/>
  <c r="U25" i="8"/>
  <c r="I15" i="7"/>
  <c r="H49" i="7"/>
  <c r="B16" i="7"/>
  <c r="C15" i="7"/>
  <c r="J54" i="7"/>
  <c r="U21" i="7"/>
  <c r="I15" i="6"/>
  <c r="B16" i="6"/>
  <c r="C15" i="6"/>
  <c r="I15" i="5"/>
  <c r="B16" i="5"/>
  <c r="C15" i="5"/>
  <c r="I15" i="3"/>
  <c r="B16" i="3"/>
  <c r="C15" i="3"/>
  <c r="T17" i="1"/>
  <c r="B15" i="1"/>
  <c r="C13" i="1"/>
  <c r="J59" i="8" l="1"/>
  <c r="U26" i="8"/>
  <c r="H50" i="8"/>
  <c r="B17" i="8"/>
  <c r="C16" i="8"/>
  <c r="I16" i="8"/>
  <c r="J55" i="7"/>
  <c r="U22" i="7"/>
  <c r="H50" i="7"/>
  <c r="B17" i="7"/>
  <c r="C16" i="7"/>
  <c r="I16" i="7"/>
  <c r="B17" i="6"/>
  <c r="C16" i="6"/>
  <c r="I16" i="6"/>
  <c r="B17" i="5"/>
  <c r="C16" i="5"/>
  <c r="I16" i="5"/>
  <c r="B17" i="3"/>
  <c r="C16" i="3"/>
  <c r="I16" i="3"/>
  <c r="T18" i="1"/>
  <c r="B16" i="1"/>
  <c r="C14" i="1"/>
  <c r="I17" i="8" l="1"/>
  <c r="H51" i="8"/>
  <c r="B18" i="8"/>
  <c r="C17" i="8"/>
  <c r="J60" i="8"/>
  <c r="U27" i="8"/>
  <c r="I17" i="7"/>
  <c r="H51" i="7"/>
  <c r="B18" i="7"/>
  <c r="C17" i="7"/>
  <c r="J56" i="7"/>
  <c r="U23" i="7"/>
  <c r="I17" i="6"/>
  <c r="B18" i="6"/>
  <c r="C17" i="6"/>
  <c r="I17" i="5"/>
  <c r="B18" i="5"/>
  <c r="C17" i="5"/>
  <c r="I17" i="3"/>
  <c r="B18" i="3"/>
  <c r="C17" i="3"/>
  <c r="T19" i="1"/>
  <c r="B17" i="1"/>
  <c r="C15" i="1"/>
  <c r="J61" i="8" l="1"/>
  <c r="U28" i="8"/>
  <c r="H52" i="8"/>
  <c r="B19" i="8"/>
  <c r="C18" i="8"/>
  <c r="I18" i="8"/>
  <c r="J57" i="7"/>
  <c r="U24" i="7"/>
  <c r="H52" i="7"/>
  <c r="B19" i="7"/>
  <c r="C18" i="7"/>
  <c r="I18" i="7"/>
  <c r="B19" i="6"/>
  <c r="C18" i="6"/>
  <c r="I18" i="6"/>
  <c r="B19" i="5"/>
  <c r="C18" i="5"/>
  <c r="I18" i="5"/>
  <c r="B19" i="3"/>
  <c r="C18" i="3"/>
  <c r="I18" i="3"/>
  <c r="T20" i="1"/>
  <c r="B18" i="1"/>
  <c r="C16" i="1"/>
  <c r="I19" i="8" l="1"/>
  <c r="H53" i="8"/>
  <c r="B20" i="8"/>
  <c r="C19" i="8"/>
  <c r="J62" i="8"/>
  <c r="U29" i="8"/>
  <c r="I19" i="7"/>
  <c r="H53" i="7"/>
  <c r="B20" i="7"/>
  <c r="C19" i="7"/>
  <c r="J58" i="7"/>
  <c r="U25" i="7"/>
  <c r="I19" i="6"/>
  <c r="B20" i="6"/>
  <c r="C19" i="6"/>
  <c r="I19" i="5"/>
  <c r="B20" i="5"/>
  <c r="C19" i="5"/>
  <c r="I19" i="3"/>
  <c r="B20" i="3"/>
  <c r="C19" i="3"/>
  <c r="T21" i="1"/>
  <c r="B19" i="1"/>
  <c r="C17" i="1"/>
  <c r="J63" i="8" l="1"/>
  <c r="U30" i="8"/>
  <c r="H54" i="8"/>
  <c r="B21" i="8"/>
  <c r="C20" i="8"/>
  <c r="I20" i="8"/>
  <c r="J59" i="7"/>
  <c r="U26" i="7"/>
  <c r="H54" i="7"/>
  <c r="B21" i="7"/>
  <c r="C20" i="7"/>
  <c r="I20" i="7"/>
  <c r="B21" i="6"/>
  <c r="C20" i="6"/>
  <c r="I20" i="6"/>
  <c r="B21" i="5"/>
  <c r="C20" i="5"/>
  <c r="I20" i="5"/>
  <c r="B21" i="3"/>
  <c r="C20" i="3"/>
  <c r="I20" i="3"/>
  <c r="T22" i="1"/>
  <c r="B20" i="1"/>
  <c r="C18" i="1"/>
  <c r="I21" i="8" l="1"/>
  <c r="H55" i="8"/>
  <c r="B22" i="8"/>
  <c r="C21" i="8"/>
  <c r="J64" i="8"/>
  <c r="U31" i="8"/>
  <c r="I21" i="7"/>
  <c r="H55" i="7"/>
  <c r="B22" i="7"/>
  <c r="C21" i="7"/>
  <c r="J60" i="7"/>
  <c r="U27" i="7"/>
  <c r="I21" i="6"/>
  <c r="B22" i="6"/>
  <c r="C21" i="6"/>
  <c r="I21" i="5"/>
  <c r="B22" i="5"/>
  <c r="C21" i="5"/>
  <c r="I21" i="3"/>
  <c r="B22" i="3"/>
  <c r="C21" i="3"/>
  <c r="T23" i="1"/>
  <c r="B21" i="1"/>
  <c r="C19" i="1"/>
  <c r="J65" i="8" l="1"/>
  <c r="U32" i="8"/>
  <c r="H56" i="8"/>
  <c r="B23" i="8"/>
  <c r="C22" i="8"/>
  <c r="I22" i="8"/>
  <c r="J61" i="7"/>
  <c r="U28" i="7"/>
  <c r="H56" i="7"/>
  <c r="B23" i="7"/>
  <c r="C22" i="7"/>
  <c r="I22" i="7"/>
  <c r="B23" i="6"/>
  <c r="C22" i="6"/>
  <c r="I22" i="6"/>
  <c r="B23" i="5"/>
  <c r="C22" i="5"/>
  <c r="I22" i="5"/>
  <c r="B23" i="3"/>
  <c r="C22" i="3"/>
  <c r="I22" i="3"/>
  <c r="T24" i="1"/>
  <c r="B22" i="1"/>
  <c r="C20" i="1"/>
  <c r="I23" i="8" l="1"/>
  <c r="H57" i="8"/>
  <c r="B24" i="8"/>
  <c r="C23" i="8"/>
  <c r="J66" i="8"/>
  <c r="U33" i="8"/>
  <c r="I23" i="7"/>
  <c r="H57" i="7"/>
  <c r="B24" i="7"/>
  <c r="C23" i="7"/>
  <c r="J62" i="7"/>
  <c r="U29" i="7"/>
  <c r="I23" i="6"/>
  <c r="B24" i="6"/>
  <c r="C23" i="6"/>
  <c r="I23" i="5"/>
  <c r="B24" i="5"/>
  <c r="C23" i="5"/>
  <c r="I23" i="3"/>
  <c r="B24" i="3"/>
  <c r="C23" i="3"/>
  <c r="T25" i="1"/>
  <c r="B23" i="1"/>
  <c r="J67" i="8" l="1"/>
  <c r="U34" i="8"/>
  <c r="H58" i="8"/>
  <c r="B25" i="8"/>
  <c r="C24" i="8"/>
  <c r="I24" i="8"/>
  <c r="J63" i="7"/>
  <c r="U30" i="7"/>
  <c r="H58" i="7"/>
  <c r="B25" i="7"/>
  <c r="C24" i="7"/>
  <c r="I24" i="7"/>
  <c r="B25" i="6"/>
  <c r="C24" i="6"/>
  <c r="I24" i="6"/>
  <c r="B25" i="5"/>
  <c r="C24" i="5"/>
  <c r="I24" i="5"/>
  <c r="B25" i="3"/>
  <c r="C24" i="3"/>
  <c r="I24" i="3"/>
  <c r="T26" i="1"/>
  <c r="B24" i="1"/>
  <c r="C21" i="1"/>
  <c r="I25" i="8" l="1"/>
  <c r="H59" i="8"/>
  <c r="B26" i="8"/>
  <c r="C25" i="8"/>
  <c r="J68" i="8"/>
  <c r="U35" i="8"/>
  <c r="I25" i="7"/>
  <c r="H59" i="7"/>
  <c r="B26" i="7"/>
  <c r="C25" i="7"/>
  <c r="J64" i="7"/>
  <c r="U31" i="7"/>
  <c r="I25" i="6"/>
  <c r="B26" i="6"/>
  <c r="C25" i="6"/>
  <c r="I25" i="5"/>
  <c r="B26" i="5"/>
  <c r="C25" i="5"/>
  <c r="I25" i="3"/>
  <c r="B26" i="3"/>
  <c r="C25" i="3"/>
  <c r="T27" i="1"/>
  <c r="B25" i="1"/>
  <c r="C22" i="1"/>
  <c r="J69" i="8" l="1"/>
  <c r="U36" i="8"/>
  <c r="H60" i="8"/>
  <c r="B27" i="8"/>
  <c r="C26" i="8"/>
  <c r="I26" i="8"/>
  <c r="J65" i="7"/>
  <c r="U32" i="7"/>
  <c r="H60" i="7"/>
  <c r="B27" i="7"/>
  <c r="C26" i="7"/>
  <c r="I26" i="7"/>
  <c r="B27" i="6"/>
  <c r="C26" i="6"/>
  <c r="I26" i="6"/>
  <c r="B27" i="5"/>
  <c r="C26" i="5"/>
  <c r="I26" i="5"/>
  <c r="B27" i="3"/>
  <c r="C26" i="3"/>
  <c r="I26" i="3"/>
  <c r="T28" i="1"/>
  <c r="B26" i="1"/>
  <c r="C23" i="1"/>
  <c r="I27" i="8" l="1"/>
  <c r="H61" i="8"/>
  <c r="B28" i="8"/>
  <c r="C27" i="8"/>
  <c r="J70" i="8"/>
  <c r="U37" i="8"/>
  <c r="I27" i="7"/>
  <c r="H61" i="7"/>
  <c r="B28" i="7"/>
  <c r="C27" i="7"/>
  <c r="J66" i="7"/>
  <c r="U33" i="7"/>
  <c r="I27" i="6"/>
  <c r="B28" i="6"/>
  <c r="C27" i="6"/>
  <c r="I27" i="5"/>
  <c r="B28" i="5"/>
  <c r="C27" i="5"/>
  <c r="I27" i="3"/>
  <c r="B28" i="3"/>
  <c r="C27" i="3"/>
  <c r="T29" i="1"/>
  <c r="B27" i="1"/>
  <c r="C24" i="1"/>
  <c r="J71" i="8" l="1"/>
  <c r="U38" i="8"/>
  <c r="H62" i="8"/>
  <c r="B29" i="8"/>
  <c r="C28" i="8"/>
  <c r="I28" i="8"/>
  <c r="J67" i="7"/>
  <c r="U34" i="7"/>
  <c r="H62" i="7"/>
  <c r="B29" i="7"/>
  <c r="C28" i="7"/>
  <c r="I28" i="7"/>
  <c r="B29" i="6"/>
  <c r="C28" i="6"/>
  <c r="I28" i="6"/>
  <c r="B29" i="5"/>
  <c r="C28" i="5"/>
  <c r="I28" i="5"/>
  <c r="B29" i="3"/>
  <c r="C28" i="3"/>
  <c r="I28" i="3"/>
  <c r="T30" i="1"/>
  <c r="B28" i="1"/>
  <c r="B29" i="1" s="1"/>
  <c r="C25" i="1"/>
  <c r="I29" i="8" l="1"/>
  <c r="H63" i="8"/>
  <c r="B30" i="8"/>
  <c r="C29" i="8"/>
  <c r="J72" i="8"/>
  <c r="U39" i="8"/>
  <c r="I29" i="7"/>
  <c r="H63" i="7"/>
  <c r="B30" i="7"/>
  <c r="C29" i="7"/>
  <c r="J68" i="7"/>
  <c r="U35" i="7"/>
  <c r="I29" i="6"/>
  <c r="B30" i="6"/>
  <c r="C29" i="6"/>
  <c r="I29" i="5"/>
  <c r="B30" i="5"/>
  <c r="C29" i="5"/>
  <c r="I29" i="3"/>
  <c r="B30" i="3"/>
  <c r="C29" i="3"/>
  <c r="T31" i="1"/>
  <c r="B30" i="1"/>
  <c r="C29" i="1"/>
  <c r="C26" i="1"/>
  <c r="J73" i="8" l="1"/>
  <c r="U40" i="8"/>
  <c r="H64" i="8"/>
  <c r="B31" i="8"/>
  <c r="C30" i="8"/>
  <c r="I30" i="8"/>
  <c r="J69" i="7"/>
  <c r="U36" i="7"/>
  <c r="H64" i="7"/>
  <c r="B31" i="7"/>
  <c r="C30" i="7"/>
  <c r="I30" i="7"/>
  <c r="B31" i="6"/>
  <c r="C30" i="6"/>
  <c r="I30" i="6"/>
  <c r="B31" i="5"/>
  <c r="C30" i="5"/>
  <c r="I30" i="5"/>
  <c r="B31" i="3"/>
  <c r="C30" i="3"/>
  <c r="I30" i="3"/>
  <c r="T32" i="1"/>
  <c r="C30" i="1"/>
  <c r="B31" i="1"/>
  <c r="C27" i="1"/>
  <c r="I31" i="8" l="1"/>
  <c r="H65" i="8"/>
  <c r="B32" i="8"/>
  <c r="C31" i="8"/>
  <c r="J74" i="8"/>
  <c r="I31" i="7"/>
  <c r="H65" i="7"/>
  <c r="B32" i="7"/>
  <c r="C31" i="7"/>
  <c r="J70" i="7"/>
  <c r="U37" i="7"/>
  <c r="I31" i="6"/>
  <c r="B32" i="6"/>
  <c r="C31" i="6"/>
  <c r="I31" i="5"/>
  <c r="B32" i="5"/>
  <c r="C31" i="5"/>
  <c r="I31" i="3"/>
  <c r="B32" i="3"/>
  <c r="C31" i="3"/>
  <c r="T33" i="1"/>
  <c r="T34" i="1" s="1"/>
  <c r="C31" i="1"/>
  <c r="B32" i="1"/>
  <c r="C28" i="1"/>
  <c r="H66" i="8" l="1"/>
  <c r="B33" i="8"/>
  <c r="C32" i="8"/>
  <c r="I32" i="8"/>
  <c r="J71" i="7"/>
  <c r="U38" i="7"/>
  <c r="H66" i="7"/>
  <c r="B33" i="7"/>
  <c r="C32" i="7"/>
  <c r="I32" i="7"/>
  <c r="B33" i="6"/>
  <c r="C32" i="6"/>
  <c r="I32" i="6"/>
  <c r="B33" i="5"/>
  <c r="C32" i="5"/>
  <c r="I32" i="5"/>
  <c r="B33" i="3"/>
  <c r="C32" i="3"/>
  <c r="I32" i="3"/>
  <c r="C32" i="1"/>
  <c r="B33" i="1"/>
  <c r="I33" i="8" l="1"/>
  <c r="H67" i="8"/>
  <c r="B34" i="8"/>
  <c r="C33" i="8"/>
  <c r="I33" i="7"/>
  <c r="H67" i="7"/>
  <c r="B34" i="7"/>
  <c r="C33" i="7"/>
  <c r="J72" i="7"/>
  <c r="U39" i="7"/>
  <c r="I33" i="6"/>
  <c r="B34" i="6"/>
  <c r="C33" i="6"/>
  <c r="I33" i="5"/>
  <c r="B34" i="5"/>
  <c r="C33" i="5"/>
  <c r="I33" i="3"/>
  <c r="B34" i="3"/>
  <c r="C33" i="3"/>
  <c r="T35" i="1"/>
  <c r="C33" i="1"/>
  <c r="B34" i="1"/>
  <c r="H68" i="8" l="1"/>
  <c r="B35" i="8"/>
  <c r="C34" i="8"/>
  <c r="I34" i="8"/>
  <c r="J73" i="7"/>
  <c r="U40" i="7"/>
  <c r="H68" i="7"/>
  <c r="B35" i="7"/>
  <c r="C34" i="7"/>
  <c r="I34" i="7"/>
  <c r="B35" i="6"/>
  <c r="C34" i="6"/>
  <c r="I34" i="6"/>
  <c r="B35" i="5"/>
  <c r="C34" i="5"/>
  <c r="I34" i="5"/>
  <c r="B35" i="3"/>
  <c r="C34" i="3"/>
  <c r="I34" i="3"/>
  <c r="T36" i="1"/>
  <c r="C34" i="1"/>
  <c r="B35" i="1"/>
  <c r="I35" i="8" l="1"/>
  <c r="H69" i="8"/>
  <c r="B36" i="8"/>
  <c r="C35" i="8"/>
  <c r="I35" i="7"/>
  <c r="H69" i="7"/>
  <c r="B36" i="7"/>
  <c r="C35" i="7"/>
  <c r="J74" i="7"/>
  <c r="I35" i="6"/>
  <c r="B36" i="6"/>
  <c r="C35" i="6"/>
  <c r="I35" i="5"/>
  <c r="B36" i="5"/>
  <c r="C35" i="5"/>
  <c r="I35" i="3"/>
  <c r="B36" i="3"/>
  <c r="C35" i="3"/>
  <c r="T37" i="1"/>
  <c r="C35" i="1"/>
  <c r="B36" i="1"/>
  <c r="H70" i="8" l="1"/>
  <c r="B37" i="8"/>
  <c r="C36" i="8"/>
  <c r="I36" i="8"/>
  <c r="H70" i="7"/>
  <c r="B37" i="7"/>
  <c r="C36" i="7"/>
  <c r="I36" i="7"/>
  <c r="B37" i="6"/>
  <c r="C36" i="6"/>
  <c r="I36" i="6"/>
  <c r="B37" i="5"/>
  <c r="C36" i="5"/>
  <c r="I36" i="5"/>
  <c r="B37" i="3"/>
  <c r="C36" i="3"/>
  <c r="I36" i="3"/>
  <c r="T38" i="1"/>
  <c r="C36" i="1"/>
  <c r="B37" i="1"/>
  <c r="I37" i="8" l="1"/>
  <c r="H71" i="8"/>
  <c r="B38" i="8"/>
  <c r="C37" i="8"/>
  <c r="I37" i="7"/>
  <c r="H71" i="7"/>
  <c r="B38" i="7"/>
  <c r="C37" i="7"/>
  <c r="I37" i="6"/>
  <c r="B38" i="6"/>
  <c r="C37" i="6"/>
  <c r="I37" i="5"/>
  <c r="B38" i="5"/>
  <c r="C37" i="5"/>
  <c r="I37" i="3"/>
  <c r="B38" i="3"/>
  <c r="C37" i="3"/>
  <c r="T39" i="1"/>
  <c r="C37" i="1"/>
  <c r="B38" i="1"/>
  <c r="H72" i="8" l="1"/>
  <c r="B39" i="8"/>
  <c r="C38" i="8"/>
  <c r="D10" i="8" a="1"/>
  <c r="I38" i="8"/>
  <c r="H72" i="7"/>
  <c r="B39" i="7"/>
  <c r="C38" i="7"/>
  <c r="D10" i="7" a="1"/>
  <c r="I38" i="7"/>
  <c r="B39" i="6"/>
  <c r="C38" i="6"/>
  <c r="D10" i="6" a="1"/>
  <c r="I38" i="6"/>
  <c r="B39" i="5"/>
  <c r="C38" i="5"/>
  <c r="D10" i="5" a="1"/>
  <c r="I38" i="5"/>
  <c r="B39" i="3"/>
  <c r="C38" i="3"/>
  <c r="D10" i="3" a="1"/>
  <c r="I38" i="3"/>
  <c r="T40" i="1"/>
  <c r="C38" i="1"/>
  <c r="B39" i="1"/>
  <c r="D10" i="1" a="1"/>
  <c r="E24" i="1"/>
  <c r="I39" i="8" l="1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2" i="8"/>
  <c r="E11" i="8"/>
  <c r="D10" i="8"/>
  <c r="E10" i="8" s="1"/>
  <c r="F10" i="8" s="1"/>
  <c r="H73" i="8"/>
  <c r="B40" i="8"/>
  <c r="C39" i="8"/>
  <c r="I39" i="7"/>
  <c r="E11" i="7"/>
  <c r="F11" i="7" s="1"/>
  <c r="G10" i="7" s="1"/>
  <c r="V10" i="7" s="1"/>
  <c r="D10" i="7"/>
  <c r="H73" i="7"/>
  <c r="B40" i="7"/>
  <c r="C39" i="7"/>
  <c r="I39" i="6"/>
  <c r="E11" i="6"/>
  <c r="D10" i="6"/>
  <c r="F10" i="6" s="1"/>
  <c r="B40" i="6"/>
  <c r="C40" i="6" s="1"/>
  <c r="C39" i="6"/>
  <c r="I39" i="5"/>
  <c r="E11" i="5"/>
  <c r="D10" i="5"/>
  <c r="E10" i="5" s="1"/>
  <c r="B40" i="5"/>
  <c r="C40" i="5" s="1"/>
  <c r="C39" i="5"/>
  <c r="I39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D10" i="3"/>
  <c r="E10" i="3" s="1"/>
  <c r="F10" i="3" s="1"/>
  <c r="B40" i="3"/>
  <c r="C40" i="3" s="1"/>
  <c r="C39" i="3"/>
  <c r="E12" i="1"/>
  <c r="E30" i="1"/>
  <c r="E31" i="1"/>
  <c r="E32" i="1"/>
  <c r="E33" i="1"/>
  <c r="E34" i="1"/>
  <c r="E35" i="1"/>
  <c r="E36" i="1"/>
  <c r="E37" i="1"/>
  <c r="E38" i="1"/>
  <c r="E39" i="1"/>
  <c r="E29" i="1"/>
  <c r="E13" i="1"/>
  <c r="E27" i="1"/>
  <c r="E14" i="1"/>
  <c r="D10" i="1"/>
  <c r="E10" i="1" s="1"/>
  <c r="F10" i="1" s="1"/>
  <c r="E28" i="1"/>
  <c r="E26" i="1"/>
  <c r="E25" i="1"/>
  <c r="C39" i="1"/>
  <c r="B40" i="1"/>
  <c r="C40" i="1" s="1"/>
  <c r="E23" i="1"/>
  <c r="H74" i="8" l="1"/>
  <c r="C40" i="8"/>
  <c r="F11" i="8"/>
  <c r="G10" i="8" s="1"/>
  <c r="F12" i="8"/>
  <c r="I40" i="8"/>
  <c r="H74" i="7"/>
  <c r="C40" i="7"/>
  <c r="I44" i="7"/>
  <c r="J10" i="7"/>
  <c r="F12" i="7"/>
  <c r="G11" i="7" s="1"/>
  <c r="V11" i="7" s="1"/>
  <c r="F13" i="7"/>
  <c r="I40" i="7"/>
  <c r="F10" i="5"/>
  <c r="F11" i="6"/>
  <c r="I40" i="6"/>
  <c r="F11" i="5"/>
  <c r="G10" i="5" s="1"/>
  <c r="I40" i="5"/>
  <c r="F11" i="3"/>
  <c r="G10" i="3" s="1"/>
  <c r="F12" i="3"/>
  <c r="G11" i="3" s="1"/>
  <c r="F13" i="3"/>
  <c r="I40" i="3"/>
  <c r="E22" i="1"/>
  <c r="F13" i="8" l="1"/>
  <c r="G11" i="8"/>
  <c r="I44" i="8"/>
  <c r="J10" i="8"/>
  <c r="V10" i="8"/>
  <c r="F14" i="7"/>
  <c r="G12" i="7"/>
  <c r="V12" i="7" s="1"/>
  <c r="I45" i="7"/>
  <c r="J11" i="7"/>
  <c r="L44" i="7"/>
  <c r="K44" i="7"/>
  <c r="F12" i="6"/>
  <c r="G10" i="6"/>
  <c r="I44" i="6" s="1"/>
  <c r="F12" i="5"/>
  <c r="G11" i="5" s="1"/>
  <c r="J10" i="5"/>
  <c r="U10" i="5"/>
  <c r="F14" i="3"/>
  <c r="G12" i="3"/>
  <c r="U11" i="3"/>
  <c r="J11" i="3"/>
  <c r="E21" i="1"/>
  <c r="L44" i="8" l="1"/>
  <c r="K44" i="8"/>
  <c r="I45" i="8"/>
  <c r="V11" i="8"/>
  <c r="J11" i="8"/>
  <c r="F14" i="8"/>
  <c r="G12" i="8"/>
  <c r="L44" i="6"/>
  <c r="K44" i="6"/>
  <c r="L45" i="7"/>
  <c r="K45" i="7"/>
  <c r="I46" i="7"/>
  <c r="J12" i="7"/>
  <c r="F15" i="7"/>
  <c r="G13" i="7"/>
  <c r="J10" i="6"/>
  <c r="U10" i="6"/>
  <c r="G11" i="6"/>
  <c r="I45" i="6" s="1"/>
  <c r="F13" i="6"/>
  <c r="F13" i="5"/>
  <c r="U12" i="3"/>
  <c r="J12" i="3"/>
  <c r="F15" i="3"/>
  <c r="G13" i="3"/>
  <c r="E20" i="1"/>
  <c r="E19" i="1" s="1"/>
  <c r="E18" i="1" s="1"/>
  <c r="E17" i="1" s="1"/>
  <c r="I46" i="8" l="1"/>
  <c r="V12" i="8"/>
  <c r="J12" i="8"/>
  <c r="F15" i="8"/>
  <c r="G13" i="8"/>
  <c r="L45" i="8"/>
  <c r="K45" i="8"/>
  <c r="K45" i="6"/>
  <c r="L45" i="6"/>
  <c r="I47" i="7"/>
  <c r="V13" i="7"/>
  <c r="J13" i="7"/>
  <c r="F16" i="7"/>
  <c r="G14" i="7"/>
  <c r="L46" i="7"/>
  <c r="K46" i="7"/>
  <c r="F14" i="6"/>
  <c r="G12" i="6"/>
  <c r="I46" i="6" s="1"/>
  <c r="U11" i="6"/>
  <c r="J11" i="6"/>
  <c r="G12" i="5"/>
  <c r="F14" i="5"/>
  <c r="U11" i="5"/>
  <c r="J11" i="5"/>
  <c r="U13" i="3"/>
  <c r="J13" i="3"/>
  <c r="F16" i="3"/>
  <c r="G14" i="3"/>
  <c r="E16" i="1"/>
  <c r="E15" i="1" s="1"/>
  <c r="I47" i="8" l="1"/>
  <c r="V13" i="8"/>
  <c r="J13" i="8"/>
  <c r="F16" i="8"/>
  <c r="G14" i="8"/>
  <c r="L46" i="8"/>
  <c r="K46" i="8"/>
  <c r="K46" i="6"/>
  <c r="L46" i="6"/>
  <c r="I48" i="7"/>
  <c r="V14" i="7"/>
  <c r="J14" i="7"/>
  <c r="F17" i="7"/>
  <c r="G15" i="7"/>
  <c r="L47" i="7"/>
  <c r="K47" i="7"/>
  <c r="U12" i="6"/>
  <c r="J12" i="6"/>
  <c r="F15" i="6"/>
  <c r="G13" i="6"/>
  <c r="I47" i="6" s="1"/>
  <c r="F15" i="5"/>
  <c r="G13" i="5"/>
  <c r="U12" i="5"/>
  <c r="J12" i="5"/>
  <c r="U14" i="3"/>
  <c r="J14" i="3"/>
  <c r="F17" i="3"/>
  <c r="G15" i="3"/>
  <c r="E11" i="1"/>
  <c r="F11" i="1" s="1"/>
  <c r="G10" i="1" s="1"/>
  <c r="I48" i="8" l="1"/>
  <c r="V14" i="8"/>
  <c r="J14" i="8"/>
  <c r="F17" i="8"/>
  <c r="G15" i="8"/>
  <c r="L47" i="8"/>
  <c r="K47" i="8"/>
  <c r="K47" i="6"/>
  <c r="L47" i="6"/>
  <c r="I49" i="7"/>
  <c r="V15" i="7"/>
  <c r="J15" i="7"/>
  <c r="F18" i="7"/>
  <c r="G16" i="7"/>
  <c r="L48" i="7"/>
  <c r="K48" i="7"/>
  <c r="U13" i="6"/>
  <c r="J13" i="6"/>
  <c r="F16" i="6"/>
  <c r="G14" i="6"/>
  <c r="I48" i="6" s="1"/>
  <c r="U13" i="5"/>
  <c r="J13" i="5"/>
  <c r="G14" i="5"/>
  <c r="F16" i="5"/>
  <c r="U15" i="3"/>
  <c r="J15" i="3"/>
  <c r="F18" i="3"/>
  <c r="G16" i="3"/>
  <c r="F12" i="1"/>
  <c r="G11" i="1" s="1"/>
  <c r="J11" i="1" s="1"/>
  <c r="I49" i="8" l="1"/>
  <c r="V15" i="8"/>
  <c r="J15" i="8"/>
  <c r="F18" i="8"/>
  <c r="G16" i="8"/>
  <c r="L48" i="8"/>
  <c r="K48" i="8"/>
  <c r="K48" i="6"/>
  <c r="L48" i="6"/>
  <c r="I50" i="7"/>
  <c r="V16" i="7"/>
  <c r="J16" i="7"/>
  <c r="F19" i="7"/>
  <c r="G17" i="7"/>
  <c r="L49" i="7"/>
  <c r="K49" i="7"/>
  <c r="U14" i="6"/>
  <c r="J14" i="6"/>
  <c r="F17" i="6"/>
  <c r="G15" i="6"/>
  <c r="I49" i="6" s="1"/>
  <c r="F17" i="5"/>
  <c r="G15" i="5"/>
  <c r="U14" i="5"/>
  <c r="J14" i="5"/>
  <c r="U16" i="3"/>
  <c r="J16" i="3"/>
  <c r="F19" i="3"/>
  <c r="G17" i="3"/>
  <c r="F13" i="1"/>
  <c r="G12" i="1" s="1"/>
  <c r="I50" i="8" l="1"/>
  <c r="V16" i="8"/>
  <c r="J16" i="8"/>
  <c r="F19" i="8"/>
  <c r="G17" i="8"/>
  <c r="L49" i="8"/>
  <c r="K49" i="8"/>
  <c r="K49" i="6"/>
  <c r="L49" i="6"/>
  <c r="I51" i="7"/>
  <c r="V17" i="7"/>
  <c r="J17" i="7"/>
  <c r="F20" i="7"/>
  <c r="G18" i="7"/>
  <c r="L50" i="7"/>
  <c r="K50" i="7"/>
  <c r="U15" i="6"/>
  <c r="J15" i="6"/>
  <c r="F18" i="6"/>
  <c r="G16" i="6"/>
  <c r="I50" i="6" s="1"/>
  <c r="U15" i="5"/>
  <c r="J15" i="5"/>
  <c r="F18" i="5"/>
  <c r="G16" i="5"/>
  <c r="U17" i="3"/>
  <c r="J17" i="3"/>
  <c r="F20" i="3"/>
  <c r="G18" i="3"/>
  <c r="J12" i="1"/>
  <c r="U12" i="1"/>
  <c r="F14" i="1"/>
  <c r="G13" i="1" s="1"/>
  <c r="I51" i="8" l="1"/>
  <c r="V17" i="8"/>
  <c r="J17" i="8"/>
  <c r="F20" i="8"/>
  <c r="G18" i="8"/>
  <c r="L50" i="8"/>
  <c r="K50" i="8"/>
  <c r="K50" i="6"/>
  <c r="L50" i="6"/>
  <c r="I52" i="7"/>
  <c r="V18" i="7"/>
  <c r="J18" i="7"/>
  <c r="G19" i="7"/>
  <c r="F21" i="7"/>
  <c r="L51" i="7"/>
  <c r="K51" i="7"/>
  <c r="U16" i="6"/>
  <c r="J16" i="6"/>
  <c r="F19" i="6"/>
  <c r="G17" i="6"/>
  <c r="I51" i="6" s="1"/>
  <c r="U16" i="5"/>
  <c r="J16" i="5"/>
  <c r="F19" i="5"/>
  <c r="G17" i="5"/>
  <c r="U18" i="3"/>
  <c r="J18" i="3"/>
  <c r="G19" i="3"/>
  <c r="F21" i="3"/>
  <c r="J13" i="1"/>
  <c r="U13" i="1"/>
  <c r="F15" i="1"/>
  <c r="G14" i="1" s="1"/>
  <c r="I52" i="8" l="1"/>
  <c r="V18" i="8"/>
  <c r="J18" i="8"/>
  <c r="G19" i="8"/>
  <c r="F21" i="8"/>
  <c r="L51" i="8"/>
  <c r="K51" i="8"/>
  <c r="K51" i="6"/>
  <c r="L51" i="6"/>
  <c r="G20" i="7"/>
  <c r="F22" i="7"/>
  <c r="I53" i="7"/>
  <c r="V19" i="7"/>
  <c r="J19" i="7"/>
  <c r="L52" i="7"/>
  <c r="K52" i="7"/>
  <c r="U17" i="6"/>
  <c r="J17" i="6"/>
  <c r="F20" i="6"/>
  <c r="G18" i="6"/>
  <c r="I52" i="6" s="1"/>
  <c r="U17" i="5"/>
  <c r="J17" i="5"/>
  <c r="F20" i="5"/>
  <c r="G18" i="5"/>
  <c r="G20" i="3"/>
  <c r="F22" i="3"/>
  <c r="U19" i="3"/>
  <c r="J19" i="3"/>
  <c r="J14" i="1"/>
  <c r="U14" i="1"/>
  <c r="F16" i="1"/>
  <c r="G15" i="1" s="1"/>
  <c r="G20" i="8" l="1"/>
  <c r="F22" i="8"/>
  <c r="I53" i="8"/>
  <c r="V19" i="8"/>
  <c r="J19" i="8"/>
  <c r="L52" i="8"/>
  <c r="K52" i="8"/>
  <c r="K52" i="6"/>
  <c r="L52" i="6"/>
  <c r="L53" i="7"/>
  <c r="K53" i="7"/>
  <c r="G21" i="7"/>
  <c r="F23" i="7"/>
  <c r="I54" i="7"/>
  <c r="V20" i="7"/>
  <c r="J20" i="7"/>
  <c r="U18" i="6"/>
  <c r="J18" i="6"/>
  <c r="G19" i="6"/>
  <c r="I53" i="6" s="1"/>
  <c r="F21" i="6"/>
  <c r="U18" i="5"/>
  <c r="J18" i="5"/>
  <c r="G19" i="5"/>
  <c r="F21" i="5"/>
  <c r="G21" i="3"/>
  <c r="F23" i="3"/>
  <c r="U20" i="3"/>
  <c r="J20" i="3"/>
  <c r="J15" i="1"/>
  <c r="U15" i="1"/>
  <c r="F17" i="1"/>
  <c r="G16" i="1" s="1"/>
  <c r="L53" i="8" l="1"/>
  <c r="K53" i="8"/>
  <c r="G21" i="8"/>
  <c r="F23" i="8"/>
  <c r="I54" i="8"/>
  <c r="V20" i="8"/>
  <c r="J20" i="8"/>
  <c r="K53" i="6"/>
  <c r="L53" i="6"/>
  <c r="L54" i="7"/>
  <c r="K54" i="7"/>
  <c r="G22" i="7"/>
  <c r="F24" i="7"/>
  <c r="I55" i="7"/>
  <c r="V21" i="7"/>
  <c r="J21" i="7"/>
  <c r="G20" i="6"/>
  <c r="I54" i="6" s="1"/>
  <c r="F22" i="6"/>
  <c r="U19" i="6"/>
  <c r="J19" i="6"/>
  <c r="G20" i="5"/>
  <c r="F22" i="5"/>
  <c r="U19" i="5"/>
  <c r="J19" i="5"/>
  <c r="G22" i="3"/>
  <c r="F24" i="3"/>
  <c r="U21" i="3"/>
  <c r="J21" i="3"/>
  <c r="J16" i="1"/>
  <c r="U16" i="1"/>
  <c r="F18" i="1"/>
  <c r="G17" i="1" s="1"/>
  <c r="L54" i="8" l="1"/>
  <c r="K54" i="8"/>
  <c r="G22" i="8"/>
  <c r="F24" i="8"/>
  <c r="I55" i="8"/>
  <c r="V21" i="8"/>
  <c r="J21" i="8"/>
  <c r="K54" i="6"/>
  <c r="L54" i="6"/>
  <c r="L55" i="7"/>
  <c r="K55" i="7"/>
  <c r="G23" i="7"/>
  <c r="F25" i="7"/>
  <c r="I56" i="7"/>
  <c r="V22" i="7"/>
  <c r="J22" i="7"/>
  <c r="G21" i="6"/>
  <c r="I55" i="6" s="1"/>
  <c r="F23" i="6"/>
  <c r="U20" i="6"/>
  <c r="J20" i="6"/>
  <c r="G21" i="5"/>
  <c r="F23" i="5"/>
  <c r="U20" i="5"/>
  <c r="J20" i="5"/>
  <c r="G23" i="3"/>
  <c r="F25" i="3"/>
  <c r="U22" i="3"/>
  <c r="J22" i="3"/>
  <c r="J17" i="1"/>
  <c r="U17" i="1"/>
  <c r="F19" i="1"/>
  <c r="G18" i="1" s="1"/>
  <c r="L55" i="8" l="1"/>
  <c r="K55" i="8"/>
  <c r="G23" i="8"/>
  <c r="F25" i="8"/>
  <c r="I56" i="8"/>
  <c r="V22" i="8"/>
  <c r="J22" i="8"/>
  <c r="K55" i="6"/>
  <c r="L55" i="6"/>
  <c r="L56" i="7"/>
  <c r="K56" i="7"/>
  <c r="G24" i="7"/>
  <c r="F26" i="7"/>
  <c r="I57" i="7"/>
  <c r="V23" i="7"/>
  <c r="J23" i="7"/>
  <c r="G22" i="6"/>
  <c r="I56" i="6" s="1"/>
  <c r="F24" i="6"/>
  <c r="U21" i="6"/>
  <c r="J21" i="6"/>
  <c r="G22" i="5"/>
  <c r="F24" i="5"/>
  <c r="U21" i="5"/>
  <c r="J21" i="5"/>
  <c r="G24" i="3"/>
  <c r="F26" i="3"/>
  <c r="U23" i="3"/>
  <c r="J23" i="3"/>
  <c r="J18" i="1"/>
  <c r="U18" i="1"/>
  <c r="F20" i="1"/>
  <c r="L56" i="8" l="1"/>
  <c r="K56" i="8"/>
  <c r="G24" i="8"/>
  <c r="F26" i="8"/>
  <c r="I57" i="8"/>
  <c r="V23" i="8"/>
  <c r="J23" i="8"/>
  <c r="K56" i="6"/>
  <c r="L56" i="6"/>
  <c r="L57" i="7"/>
  <c r="K57" i="7"/>
  <c r="G25" i="7"/>
  <c r="F27" i="7"/>
  <c r="I58" i="7"/>
  <c r="V24" i="7"/>
  <c r="J24" i="7"/>
  <c r="G23" i="6"/>
  <c r="I57" i="6" s="1"/>
  <c r="F25" i="6"/>
  <c r="U22" i="6"/>
  <c r="J22" i="6"/>
  <c r="G23" i="5"/>
  <c r="F25" i="5"/>
  <c r="U22" i="5"/>
  <c r="J22" i="5"/>
  <c r="G25" i="3"/>
  <c r="F27" i="3"/>
  <c r="U24" i="3"/>
  <c r="J24" i="3"/>
  <c r="G19" i="1"/>
  <c r="F21" i="1"/>
  <c r="L57" i="8" l="1"/>
  <c r="K57" i="8"/>
  <c r="G25" i="8"/>
  <c r="F27" i="8"/>
  <c r="I58" i="8"/>
  <c r="V24" i="8"/>
  <c r="J24" i="8"/>
  <c r="K57" i="6"/>
  <c r="L57" i="6"/>
  <c r="L58" i="7"/>
  <c r="K58" i="7"/>
  <c r="G26" i="7"/>
  <c r="F28" i="7"/>
  <c r="I59" i="7"/>
  <c r="V25" i="7"/>
  <c r="J25" i="7"/>
  <c r="G24" i="6"/>
  <c r="I58" i="6" s="1"/>
  <c r="F26" i="6"/>
  <c r="U23" i="6"/>
  <c r="J23" i="6"/>
  <c r="G24" i="5"/>
  <c r="F26" i="5"/>
  <c r="U23" i="5"/>
  <c r="J23" i="5"/>
  <c r="G26" i="3"/>
  <c r="F28" i="3"/>
  <c r="U25" i="3"/>
  <c r="J25" i="3"/>
  <c r="J19" i="1"/>
  <c r="U19" i="1"/>
  <c r="G20" i="1"/>
  <c r="F22" i="1"/>
  <c r="G21" i="1" s="1"/>
  <c r="L58" i="8" l="1"/>
  <c r="K58" i="8"/>
  <c r="G26" i="8"/>
  <c r="F28" i="8"/>
  <c r="I59" i="8"/>
  <c r="V25" i="8"/>
  <c r="J25" i="8"/>
  <c r="K58" i="6"/>
  <c r="L58" i="6"/>
  <c r="L59" i="7"/>
  <c r="K59" i="7"/>
  <c r="G27" i="7"/>
  <c r="F29" i="7"/>
  <c r="I60" i="7"/>
  <c r="V26" i="7"/>
  <c r="J26" i="7"/>
  <c r="G25" i="6"/>
  <c r="I59" i="6" s="1"/>
  <c r="F27" i="6"/>
  <c r="U24" i="6"/>
  <c r="J24" i="6"/>
  <c r="G25" i="5"/>
  <c r="F27" i="5"/>
  <c r="U24" i="5"/>
  <c r="J24" i="5"/>
  <c r="G27" i="3"/>
  <c r="F29" i="3"/>
  <c r="U26" i="3"/>
  <c r="J26" i="3"/>
  <c r="J21" i="1"/>
  <c r="U21" i="1"/>
  <c r="J20" i="1"/>
  <c r="U20" i="1"/>
  <c r="F23" i="1"/>
  <c r="L59" i="8" l="1"/>
  <c r="K59" i="8"/>
  <c r="G27" i="8"/>
  <c r="F29" i="8"/>
  <c r="I60" i="8"/>
  <c r="V26" i="8"/>
  <c r="J26" i="8"/>
  <c r="K59" i="6"/>
  <c r="L59" i="6"/>
  <c r="L60" i="7"/>
  <c r="K60" i="7"/>
  <c r="G28" i="7"/>
  <c r="F30" i="7"/>
  <c r="I61" i="7"/>
  <c r="V27" i="7"/>
  <c r="J27" i="7"/>
  <c r="G26" i="6"/>
  <c r="I60" i="6" s="1"/>
  <c r="F28" i="6"/>
  <c r="U25" i="6"/>
  <c r="J25" i="6"/>
  <c r="G26" i="5"/>
  <c r="F28" i="5"/>
  <c r="U25" i="5"/>
  <c r="J25" i="5"/>
  <c r="G28" i="3"/>
  <c r="F30" i="3"/>
  <c r="U27" i="3"/>
  <c r="J27" i="3"/>
  <c r="G22" i="1"/>
  <c r="F24" i="1"/>
  <c r="L60" i="8" l="1"/>
  <c r="K60" i="8"/>
  <c r="G28" i="8"/>
  <c r="F30" i="8"/>
  <c r="I61" i="8"/>
  <c r="V27" i="8"/>
  <c r="J27" i="8"/>
  <c r="K60" i="6"/>
  <c r="L60" i="6"/>
  <c r="L61" i="7"/>
  <c r="K61" i="7"/>
  <c r="G29" i="7"/>
  <c r="F31" i="7"/>
  <c r="I62" i="7"/>
  <c r="V28" i="7"/>
  <c r="J28" i="7"/>
  <c r="G27" i="6"/>
  <c r="I61" i="6" s="1"/>
  <c r="F29" i="6"/>
  <c r="U26" i="6"/>
  <c r="J26" i="6"/>
  <c r="G27" i="5"/>
  <c r="F29" i="5"/>
  <c r="U26" i="5"/>
  <c r="J26" i="5"/>
  <c r="G29" i="3"/>
  <c r="F31" i="3"/>
  <c r="U28" i="3"/>
  <c r="J28" i="3"/>
  <c r="J22" i="1"/>
  <c r="U22" i="1"/>
  <c r="G23" i="1"/>
  <c r="F25" i="1"/>
  <c r="L61" i="8" l="1"/>
  <c r="K61" i="8"/>
  <c r="G29" i="8"/>
  <c r="F31" i="8"/>
  <c r="I62" i="8"/>
  <c r="V28" i="8"/>
  <c r="J28" i="8"/>
  <c r="K61" i="6"/>
  <c r="L61" i="6"/>
  <c r="L62" i="7"/>
  <c r="K62" i="7"/>
  <c r="G30" i="7"/>
  <c r="F32" i="7"/>
  <c r="I63" i="7"/>
  <c r="V29" i="7"/>
  <c r="J29" i="7"/>
  <c r="F30" i="6"/>
  <c r="G28" i="6"/>
  <c r="I62" i="6" s="1"/>
  <c r="U27" i="6"/>
  <c r="J27" i="6"/>
  <c r="G28" i="5"/>
  <c r="F30" i="5"/>
  <c r="U27" i="5"/>
  <c r="J27" i="5"/>
  <c r="G30" i="3"/>
  <c r="F32" i="3"/>
  <c r="U29" i="3"/>
  <c r="J29" i="3"/>
  <c r="J23" i="1"/>
  <c r="U23" i="1"/>
  <c r="F26" i="1"/>
  <c r="G24" i="1"/>
  <c r="L62" i="8" l="1"/>
  <c r="K62" i="8"/>
  <c r="G30" i="8"/>
  <c r="F32" i="8"/>
  <c r="I63" i="8"/>
  <c r="V29" i="8"/>
  <c r="J29" i="8"/>
  <c r="K62" i="6"/>
  <c r="L62" i="6"/>
  <c r="L63" i="7"/>
  <c r="K63" i="7"/>
  <c r="G31" i="7"/>
  <c r="F33" i="7"/>
  <c r="I64" i="7"/>
  <c r="V30" i="7"/>
  <c r="J30" i="7"/>
  <c r="U28" i="6"/>
  <c r="J28" i="6"/>
  <c r="G29" i="6"/>
  <c r="I63" i="6" s="1"/>
  <c r="F31" i="6"/>
  <c r="G29" i="5"/>
  <c r="F31" i="5"/>
  <c r="U28" i="5"/>
  <c r="J28" i="5"/>
  <c r="G31" i="3"/>
  <c r="F33" i="3"/>
  <c r="U30" i="3"/>
  <c r="J30" i="3"/>
  <c r="J24" i="1"/>
  <c r="U24" i="1"/>
  <c r="G25" i="1"/>
  <c r="F27" i="1"/>
  <c r="L63" i="8" l="1"/>
  <c r="K63" i="8"/>
  <c r="G31" i="8"/>
  <c r="F33" i="8"/>
  <c r="I64" i="8"/>
  <c r="V30" i="8"/>
  <c r="J30" i="8"/>
  <c r="K63" i="6"/>
  <c r="L63" i="6"/>
  <c r="L64" i="7"/>
  <c r="K64" i="7"/>
  <c r="G32" i="7"/>
  <c r="F34" i="7"/>
  <c r="I65" i="7"/>
  <c r="V31" i="7"/>
  <c r="J31" i="7"/>
  <c r="G30" i="6"/>
  <c r="I64" i="6" s="1"/>
  <c r="F32" i="6"/>
  <c r="U29" i="6"/>
  <c r="J29" i="6"/>
  <c r="G30" i="5"/>
  <c r="F32" i="5"/>
  <c r="U29" i="5"/>
  <c r="J29" i="5"/>
  <c r="G32" i="3"/>
  <c r="F34" i="3"/>
  <c r="U31" i="3"/>
  <c r="J31" i="3"/>
  <c r="J25" i="1"/>
  <c r="U25" i="1"/>
  <c r="G26" i="1"/>
  <c r="F28" i="1"/>
  <c r="F29" i="1" s="1"/>
  <c r="F30" i="1" s="1"/>
  <c r="F31" i="1" s="1"/>
  <c r="L64" i="8" l="1"/>
  <c r="K64" i="8"/>
  <c r="G32" i="8"/>
  <c r="F34" i="8"/>
  <c r="I65" i="8"/>
  <c r="V31" i="8"/>
  <c r="J31" i="8"/>
  <c r="K64" i="6"/>
  <c r="L64" i="6"/>
  <c r="L65" i="7"/>
  <c r="K65" i="7"/>
  <c r="G33" i="7"/>
  <c r="F35" i="7"/>
  <c r="I66" i="7"/>
  <c r="V32" i="7"/>
  <c r="J32" i="7"/>
  <c r="G31" i="6"/>
  <c r="I65" i="6" s="1"/>
  <c r="F33" i="6"/>
  <c r="U30" i="6"/>
  <c r="J30" i="6"/>
  <c r="G31" i="5"/>
  <c r="F33" i="5"/>
  <c r="U30" i="5"/>
  <c r="J30" i="5"/>
  <c r="G33" i="3"/>
  <c r="F35" i="3"/>
  <c r="U32" i="3"/>
  <c r="J32" i="3"/>
  <c r="J26" i="1"/>
  <c r="U26" i="1"/>
  <c r="G30" i="1"/>
  <c r="F32" i="1"/>
  <c r="G29" i="1"/>
  <c r="G27" i="1"/>
  <c r="L65" i="8" l="1"/>
  <c r="K65" i="8"/>
  <c r="G33" i="8"/>
  <c r="F35" i="8"/>
  <c r="I66" i="8"/>
  <c r="V32" i="8"/>
  <c r="J32" i="8"/>
  <c r="K65" i="6"/>
  <c r="L65" i="6"/>
  <c r="L66" i="7"/>
  <c r="K66" i="7"/>
  <c r="G34" i="7"/>
  <c r="F36" i="7"/>
  <c r="I67" i="7"/>
  <c r="V33" i="7"/>
  <c r="J33" i="7"/>
  <c r="G32" i="6"/>
  <c r="I66" i="6" s="1"/>
  <c r="F34" i="6"/>
  <c r="U31" i="6"/>
  <c r="J31" i="6"/>
  <c r="G32" i="5"/>
  <c r="F34" i="5"/>
  <c r="U31" i="5"/>
  <c r="J31" i="5"/>
  <c r="G34" i="3"/>
  <c r="F36" i="3"/>
  <c r="U33" i="3"/>
  <c r="J33" i="3"/>
  <c r="J27" i="1"/>
  <c r="U27" i="1"/>
  <c r="J29" i="1"/>
  <c r="U29" i="1"/>
  <c r="J30" i="1"/>
  <c r="U30" i="1"/>
  <c r="G31" i="1"/>
  <c r="F33" i="1"/>
  <c r="G28" i="1"/>
  <c r="L66" i="8" l="1"/>
  <c r="K66" i="8"/>
  <c r="G34" i="8"/>
  <c r="F36" i="8"/>
  <c r="I67" i="8"/>
  <c r="V33" i="8"/>
  <c r="J33" i="8"/>
  <c r="K66" i="6"/>
  <c r="L66" i="6"/>
  <c r="L67" i="7"/>
  <c r="K67" i="7"/>
  <c r="G35" i="7"/>
  <c r="F37" i="7"/>
  <c r="I68" i="7"/>
  <c r="V34" i="7"/>
  <c r="J34" i="7"/>
  <c r="G33" i="6"/>
  <c r="I67" i="6" s="1"/>
  <c r="F35" i="6"/>
  <c r="U32" i="6"/>
  <c r="J32" i="6"/>
  <c r="G33" i="5"/>
  <c r="F35" i="5"/>
  <c r="U32" i="5"/>
  <c r="J32" i="5"/>
  <c r="G35" i="3"/>
  <c r="F37" i="3"/>
  <c r="U34" i="3"/>
  <c r="J34" i="3"/>
  <c r="J28" i="1"/>
  <c r="U28" i="1"/>
  <c r="J31" i="1"/>
  <c r="U31" i="1"/>
  <c r="G32" i="1"/>
  <c r="F34" i="1"/>
  <c r="L67" i="8" l="1"/>
  <c r="K67" i="8"/>
  <c r="G35" i="8"/>
  <c r="F37" i="8"/>
  <c r="I68" i="8"/>
  <c r="V34" i="8"/>
  <c r="J34" i="8"/>
  <c r="K67" i="6"/>
  <c r="L67" i="6"/>
  <c r="L68" i="7"/>
  <c r="K68" i="7"/>
  <c r="G36" i="7"/>
  <c r="F38" i="7"/>
  <c r="I69" i="7"/>
  <c r="V35" i="7"/>
  <c r="J35" i="7"/>
  <c r="G34" i="6"/>
  <c r="I68" i="6" s="1"/>
  <c r="F36" i="6"/>
  <c r="U33" i="6"/>
  <c r="J33" i="6"/>
  <c r="G34" i="5"/>
  <c r="F36" i="5"/>
  <c r="U33" i="5"/>
  <c r="J33" i="5"/>
  <c r="G36" i="3"/>
  <c r="F38" i="3"/>
  <c r="U35" i="3"/>
  <c r="J35" i="3"/>
  <c r="J32" i="1"/>
  <c r="U32" i="1"/>
  <c r="G33" i="1"/>
  <c r="F35" i="1"/>
  <c r="L68" i="8" l="1"/>
  <c r="K68" i="8"/>
  <c r="G36" i="8"/>
  <c r="F38" i="8"/>
  <c r="I69" i="8"/>
  <c r="V35" i="8"/>
  <c r="J35" i="8"/>
  <c r="K68" i="6"/>
  <c r="L68" i="6"/>
  <c r="L69" i="7"/>
  <c r="K69" i="7"/>
  <c r="G37" i="7"/>
  <c r="F39" i="7"/>
  <c r="I70" i="7"/>
  <c r="V36" i="7"/>
  <c r="J36" i="7"/>
  <c r="G35" i="6"/>
  <c r="I69" i="6" s="1"/>
  <c r="F37" i="6"/>
  <c r="U34" i="6"/>
  <c r="J34" i="6"/>
  <c r="G35" i="5"/>
  <c r="F37" i="5"/>
  <c r="U34" i="5"/>
  <c r="J34" i="5"/>
  <c r="G37" i="3"/>
  <c r="F39" i="3"/>
  <c r="U36" i="3"/>
  <c r="J36" i="3"/>
  <c r="J33" i="1"/>
  <c r="U33" i="1"/>
  <c r="G34" i="1"/>
  <c r="F36" i="1"/>
  <c r="L69" i="8" l="1"/>
  <c r="K69" i="8"/>
  <c r="G37" i="8"/>
  <c r="F39" i="8"/>
  <c r="I70" i="8"/>
  <c r="V36" i="8"/>
  <c r="J36" i="8"/>
  <c r="K69" i="6"/>
  <c r="L69" i="6"/>
  <c r="L70" i="7"/>
  <c r="K70" i="7"/>
  <c r="G38" i="7"/>
  <c r="F40" i="7"/>
  <c r="I71" i="7"/>
  <c r="V37" i="7"/>
  <c r="J37" i="7"/>
  <c r="G36" i="6"/>
  <c r="I70" i="6" s="1"/>
  <c r="F38" i="6"/>
  <c r="U35" i="6"/>
  <c r="J35" i="6"/>
  <c r="G36" i="5"/>
  <c r="F38" i="5"/>
  <c r="F39" i="5" s="1"/>
  <c r="F40" i="5" s="1"/>
  <c r="U35" i="5"/>
  <c r="J35" i="5"/>
  <c r="G38" i="3"/>
  <c r="F40" i="3"/>
  <c r="U37" i="3"/>
  <c r="J37" i="3"/>
  <c r="J34" i="1"/>
  <c r="U34" i="1"/>
  <c r="G35" i="1"/>
  <c r="F37" i="1"/>
  <c r="L70" i="8" l="1"/>
  <c r="K70" i="8"/>
  <c r="G38" i="8"/>
  <c r="F40" i="8"/>
  <c r="I71" i="8"/>
  <c r="V37" i="8"/>
  <c r="J37" i="8"/>
  <c r="K70" i="6"/>
  <c r="L70" i="6"/>
  <c r="L71" i="7"/>
  <c r="K71" i="7"/>
  <c r="G40" i="7"/>
  <c r="G39" i="7"/>
  <c r="I72" i="7"/>
  <c r="V38" i="7"/>
  <c r="J38" i="7"/>
  <c r="G37" i="6"/>
  <c r="I71" i="6" s="1"/>
  <c r="F39" i="6"/>
  <c r="U36" i="6"/>
  <c r="J36" i="6"/>
  <c r="G37" i="5"/>
  <c r="U36" i="5"/>
  <c r="J36" i="5"/>
  <c r="G40" i="3"/>
  <c r="G39" i="3"/>
  <c r="U38" i="3"/>
  <c r="J38" i="3"/>
  <c r="J35" i="1"/>
  <c r="U35" i="1"/>
  <c r="G36" i="1"/>
  <c r="F38" i="1"/>
  <c r="L71" i="8" l="1"/>
  <c r="K71" i="8"/>
  <c r="G40" i="8"/>
  <c r="G39" i="8"/>
  <c r="I72" i="8"/>
  <c r="V38" i="8"/>
  <c r="J38" i="8"/>
  <c r="K71" i="6"/>
  <c r="L71" i="6"/>
  <c r="L72" i="7"/>
  <c r="K72" i="7"/>
  <c r="I73" i="7"/>
  <c r="V39" i="7"/>
  <c r="J39" i="7"/>
  <c r="I74" i="7"/>
  <c r="V40" i="7"/>
  <c r="J40" i="7"/>
  <c r="G38" i="6"/>
  <c r="I72" i="6" s="1"/>
  <c r="F40" i="6"/>
  <c r="U37" i="6"/>
  <c r="J37" i="6"/>
  <c r="U37" i="5"/>
  <c r="J37" i="5"/>
  <c r="G38" i="5"/>
  <c r="U39" i="3"/>
  <c r="J39" i="3"/>
  <c r="U40" i="3"/>
  <c r="J40" i="3"/>
  <c r="J36" i="1"/>
  <c r="U36" i="1"/>
  <c r="G37" i="1"/>
  <c r="F39" i="1"/>
  <c r="L72" i="8" l="1"/>
  <c r="K72" i="8"/>
  <c r="I73" i="8"/>
  <c r="V39" i="8"/>
  <c r="J39" i="8"/>
  <c r="I74" i="8"/>
  <c r="V40" i="8"/>
  <c r="J40" i="8"/>
  <c r="K72" i="6"/>
  <c r="L72" i="6"/>
  <c r="L74" i="7"/>
  <c r="K74" i="7"/>
  <c r="L73" i="7"/>
  <c r="K73" i="7"/>
  <c r="G40" i="6"/>
  <c r="I74" i="6" s="1"/>
  <c r="G39" i="6"/>
  <c r="I73" i="6" s="1"/>
  <c r="U38" i="6"/>
  <c r="J38" i="6"/>
  <c r="U38" i="5"/>
  <c r="J38" i="5"/>
  <c r="G39" i="5"/>
  <c r="G40" i="5"/>
  <c r="J37" i="1"/>
  <c r="U37" i="1"/>
  <c r="G38" i="1"/>
  <c r="F40" i="1"/>
  <c r="L74" i="8" l="1"/>
  <c r="K74" i="8"/>
  <c r="L73" i="8"/>
  <c r="K73" i="8"/>
  <c r="K73" i="6"/>
  <c r="L73" i="6"/>
  <c r="K74" i="6"/>
  <c r="L74" i="6"/>
  <c r="U39" i="6"/>
  <c r="J39" i="6"/>
  <c r="U40" i="6"/>
  <c r="J40" i="6"/>
  <c r="U40" i="5"/>
  <c r="J40" i="5"/>
  <c r="U39" i="5"/>
  <c r="J39" i="5"/>
  <c r="J38" i="1"/>
  <c r="U38" i="1"/>
  <c r="G39" i="1"/>
  <c r="G40" i="1"/>
  <c r="U11" i="1"/>
  <c r="U10" i="1"/>
  <c r="J40" i="1" l="1"/>
  <c r="U40" i="1"/>
  <c r="J39" i="1"/>
  <c r="U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Rian Fardin</author>
  </authors>
  <commentList>
    <comment ref="L8" authorId="0" shapeId="0" xr:uid="{7DBC67AE-3CE4-4AD1-88A3-EF26ED139A9F}">
      <text>
        <r>
          <rPr>
            <sz val="11"/>
            <color theme="1"/>
            <rFont val="Calibri"/>
            <family val="2"/>
            <scheme val="minor"/>
          </rPr>
          <t xml:space="preserve">Rian Fardin:
Meta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Rian Fardin</author>
  </authors>
  <commentList>
    <comment ref="L8" authorId="0" shapeId="0" xr:uid="{B8392916-7E7F-4EA9-99A2-120A17ADA6CB}">
      <text>
        <r>
          <rPr>
            <sz val="11"/>
            <color theme="1"/>
            <rFont val="Calibri"/>
            <family val="2"/>
            <scheme val="minor"/>
          </rPr>
          <t xml:space="preserve">Rian Fardin:
Meta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Rian Fardin</author>
  </authors>
  <commentList>
    <comment ref="L8" authorId="0" shapeId="0" xr:uid="{E80B0888-713F-428E-AE82-7BEE04569062}">
      <text>
        <r>
          <rPr>
            <sz val="11"/>
            <color theme="1"/>
            <rFont val="Calibri"/>
            <family val="2"/>
            <scheme val="minor"/>
          </rPr>
          <t xml:space="preserve">Rian Fardin:
Meta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Rian Fardin</author>
  </authors>
  <commentList>
    <comment ref="L8" authorId="0" shapeId="0" xr:uid="{CB7640BE-7BE4-43F1-B73E-B5CEB6801966}">
      <text>
        <r>
          <rPr>
            <sz val="11"/>
            <color theme="1"/>
            <rFont val="Calibri"/>
            <family val="2"/>
            <scheme val="minor"/>
          </rPr>
          <t xml:space="preserve">Rian Fardin:
Meta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Rian Fardin</author>
  </authors>
  <commentList>
    <comment ref="L8" authorId="0" shapeId="0" xr:uid="{9D2907A6-3179-4B5B-9ADF-FDAE3DE9A0FD}">
      <text>
        <r>
          <rPr>
            <sz val="11"/>
            <color theme="1"/>
            <rFont val="Calibri"/>
            <family val="2"/>
            <scheme val="minor"/>
          </rPr>
          <t xml:space="preserve">Rian Fardin:
Meta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Rian Fardin</author>
  </authors>
  <commentList>
    <comment ref="L8" authorId="0" shapeId="0" xr:uid="{ED414656-33A1-4917-BC89-B3DE3894F8FE}">
      <text>
        <r>
          <rPr>
            <sz val="11"/>
            <color theme="1"/>
            <rFont val="Calibri"/>
            <family val="2"/>
            <scheme val="minor"/>
          </rPr>
          <t xml:space="preserve">Rian Fardin:
Meta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<sst xmlns="http://schemas.openxmlformats.org/spreadsheetml/2006/main" count="222" uniqueCount="51">
  <si>
    <t xml:space="preserve">
Planejamento de Vendas Por Trimestre</t>
  </si>
  <si>
    <t>Canal</t>
  </si>
  <si>
    <t>Trimentre</t>
  </si>
  <si>
    <t>% de Faturamento</t>
  </si>
  <si>
    <t>Faturamento</t>
  </si>
  <si>
    <t>Média Mês</t>
  </si>
  <si>
    <t>Wilson S/ NF</t>
  </si>
  <si>
    <t>Faturamento NF</t>
  </si>
  <si>
    <t>Falta para o Tri</t>
  </si>
  <si>
    <t>Fardin</t>
  </si>
  <si>
    <t>1º</t>
  </si>
  <si>
    <t>2º</t>
  </si>
  <si>
    <t>3º</t>
  </si>
  <si>
    <t>4º</t>
  </si>
  <si>
    <t>Privaty e Terceiros</t>
  </si>
  <si>
    <t>Resumo Diário de Vendas</t>
  </si>
  <si>
    <t>Categoria</t>
  </si>
  <si>
    <t>Meta Mês:</t>
  </si>
  <si>
    <t>Dias Úteis Mês</t>
  </si>
  <si>
    <t>Meta Dia:</t>
  </si>
  <si>
    <t>Mês de Ref.:</t>
  </si>
  <si>
    <t>Data</t>
  </si>
  <si>
    <t>Dia da Semana</t>
  </si>
  <si>
    <t>Dia útil</t>
  </si>
  <si>
    <t>Dia útil do mês</t>
  </si>
  <si>
    <t>Resultado Projetado</t>
  </si>
  <si>
    <t>Entrada</t>
  </si>
  <si>
    <t>Ticket Médio</t>
  </si>
  <si>
    <t>Back-Log Pedidos</t>
  </si>
  <si>
    <t>Ajuste</t>
  </si>
  <si>
    <t xml:space="preserve">Realizado </t>
  </si>
  <si>
    <t xml:space="preserve">Acumulado </t>
  </si>
  <si>
    <t>Projetado x Realizado</t>
  </si>
  <si>
    <t>Qtd de Pedidos Entrada</t>
  </si>
  <si>
    <t>Wilson</t>
  </si>
  <si>
    <t>Capeline</t>
  </si>
  <si>
    <t>Juliano</t>
  </si>
  <si>
    <t>Simone</t>
  </si>
  <si>
    <t>Ana</t>
  </si>
  <si>
    <t>Realizado</t>
  </si>
  <si>
    <t>Acumulado</t>
  </si>
  <si>
    <t>Airton</t>
  </si>
  <si>
    <t>Rogerio</t>
  </si>
  <si>
    <t/>
  </si>
  <si>
    <t>Dia</t>
  </si>
  <si>
    <t>Venda Projetada</t>
  </si>
  <si>
    <t>Venda Acumulada</t>
  </si>
  <si>
    <t>Verde</t>
  </si>
  <si>
    <t>Vermelho</t>
  </si>
  <si>
    <t>Sergio</t>
  </si>
  <si>
    <t>Reginaldo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</si>
</sst>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[$-416]mmmm\-yy;@"/>
    <numFmt numFmtId="166" formatCode="_-[$R$-416]\ * #,##0.00_-;\-[$R$-416]\ * #,##0.00_-;_-[$R$-416]\ * &quot;-&quot;??_-;_-@_-"/>
    <numFmt numFmtId="167" formatCode="0.0%"/>
    <numFmt numFmtId="168" formatCode="0.0000%"/>
    <numFmt numFmtId="169" formatCode="d/m;@"/>
    <numFmt numFmtId="170" formatCode="#,##0_ ;\-#,##0\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b/>
      <sz val="31"/>
      <name val="Calibri"/>
      <family val="2"/>
      <scheme val="minor"/>
    </font>
    <font>
      <b/>
      <u/>
      <sz val="13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C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indexed="64"/>
      </right>
      <top style="hair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000000"/>
      </bottom>
      <diagonal/>
    </border>
    <border>
      <left style="thin">
        <color indexed="64"/>
      </left>
      <right/>
      <top style="hair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43" fontId="4" fillId="0" borderId="0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66" fontId="7" fillId="0" borderId="0" xfId="1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right" vertical="center" wrapText="1"/>
    </xf>
    <xf numFmtId="166" fontId="7" fillId="0" borderId="22" xfId="1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vertical="center" wrapText="1"/>
    </xf>
    <xf numFmtId="166" fontId="2" fillId="0" borderId="2" xfId="1" applyNumberFormat="1" applyFont="1" applyBorder="1" applyAlignment="1">
      <alignment horizontal="center" vertical="center" wrapText="1"/>
    </xf>
    <xf numFmtId="166" fontId="2" fillId="0" borderId="3" xfId="1" applyNumberFormat="1" applyFont="1" applyBorder="1" applyAlignment="1">
      <alignment horizontal="center" vertical="center" wrapText="1"/>
    </xf>
    <xf numFmtId="166" fontId="2" fillId="0" borderId="17" xfId="1" applyNumberFormat="1" applyFont="1" applyBorder="1" applyAlignment="1">
      <alignment horizontal="center" vertical="center" wrapText="1"/>
    </xf>
    <xf numFmtId="9" fontId="3" fillId="0" borderId="3" xfId="2" applyFont="1" applyBorder="1" applyAlignment="1">
      <alignment horizontal="center" vertical="center" wrapText="1"/>
    </xf>
    <xf numFmtId="9" fontId="3" fillId="0" borderId="17" xfId="2" applyFont="1" applyBorder="1" applyAlignment="1">
      <alignment horizontal="center" vertical="center" wrapText="1"/>
    </xf>
    <xf numFmtId="44" fontId="2" fillId="0" borderId="15" xfId="1" applyNumberFormat="1" applyFont="1" applyBorder="1" applyAlignment="1">
      <alignment horizontal="center" vertical="center" wrapText="1"/>
    </xf>
    <xf numFmtId="44" fontId="2" fillId="0" borderId="19" xfId="1" applyNumberFormat="1" applyFont="1" applyBorder="1" applyAlignment="1">
      <alignment horizontal="center" vertical="center" wrapText="1"/>
    </xf>
    <xf numFmtId="166" fontId="2" fillId="0" borderId="26" xfId="1" applyNumberFormat="1" applyFont="1" applyBorder="1" applyAlignment="1">
      <alignment horizontal="center" vertical="center" wrapText="1"/>
    </xf>
    <xf numFmtId="9" fontId="3" fillId="0" borderId="26" xfId="2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166" fontId="3" fillId="0" borderId="30" xfId="0" applyNumberFormat="1" applyFont="1" applyBorder="1" applyAlignment="1">
      <alignment horizontal="center" vertical="center" wrapText="1"/>
    </xf>
    <xf numFmtId="166" fontId="2" fillId="0" borderId="36" xfId="1" applyNumberFormat="1" applyFont="1" applyBorder="1" applyAlignment="1">
      <alignment horizontal="center" vertical="center" wrapText="1"/>
    </xf>
    <xf numFmtId="9" fontId="2" fillId="0" borderId="30" xfId="0" applyNumberFormat="1" applyFont="1" applyBorder="1" applyAlignment="1">
      <alignment horizontal="center" vertical="center" wrapText="1"/>
    </xf>
    <xf numFmtId="166" fontId="3" fillId="0" borderId="26" xfId="1" applyNumberFormat="1" applyFont="1" applyBorder="1" applyAlignment="1">
      <alignment horizontal="center" vertical="center" wrapText="1"/>
    </xf>
    <xf numFmtId="166" fontId="2" fillId="0" borderId="26" xfId="2" applyNumberFormat="1" applyFont="1" applyBorder="1" applyAlignment="1">
      <alignment horizontal="center" vertical="center" wrapText="1"/>
    </xf>
    <xf numFmtId="166" fontId="2" fillId="0" borderId="3" xfId="2" applyNumberFormat="1" applyFont="1" applyBorder="1" applyAlignment="1">
      <alignment horizontal="center" vertical="center" wrapText="1"/>
    </xf>
    <xf numFmtId="166" fontId="2" fillId="0" borderId="4" xfId="2" applyNumberFormat="1" applyFont="1" applyBorder="1" applyAlignment="1">
      <alignment horizontal="center" vertical="center" wrapText="1"/>
    </xf>
    <xf numFmtId="166" fontId="2" fillId="0" borderId="18" xfId="2" applyNumberFormat="1" applyFont="1" applyBorder="1" applyAlignment="1">
      <alignment horizontal="center" vertical="center" wrapText="1"/>
    </xf>
    <xf numFmtId="166" fontId="3" fillId="0" borderId="36" xfId="1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left" vertical="center" wrapText="1"/>
    </xf>
    <xf numFmtId="165" fontId="7" fillId="0" borderId="23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7" fontId="0" fillId="0" borderId="40" xfId="2" applyNumberFormat="1" applyFont="1" applyBorder="1" applyAlignment="1">
      <alignment horizontal="center" vertical="center"/>
    </xf>
    <xf numFmtId="44" fontId="0" fillId="0" borderId="40" xfId="0" applyNumberFormat="1" applyBorder="1" applyAlignment="1">
      <alignment horizontal="center" vertical="center"/>
    </xf>
    <xf numFmtId="44" fontId="0" fillId="0" borderId="0" xfId="0" applyNumberFormat="1"/>
    <xf numFmtId="0" fontId="0" fillId="0" borderId="41" xfId="0" applyBorder="1" applyAlignment="1">
      <alignment horizontal="center" vertical="center"/>
    </xf>
    <xf numFmtId="167" fontId="0" fillId="0" borderId="41" xfId="2" applyNumberFormat="1" applyFont="1" applyBorder="1" applyAlignment="1">
      <alignment horizontal="center" vertical="center"/>
    </xf>
    <xf numFmtId="44" fontId="0" fillId="0" borderId="41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7" fontId="0" fillId="0" borderId="42" xfId="2" applyNumberFormat="1" applyFont="1" applyBorder="1" applyAlignment="1">
      <alignment horizontal="center" vertical="center"/>
    </xf>
    <xf numFmtId="44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7" fontId="0" fillId="0" borderId="43" xfId="2" applyNumberFormat="1" applyFont="1" applyBorder="1" applyAlignment="1">
      <alignment horizontal="center" vertical="center"/>
    </xf>
    <xf numFmtId="44" fontId="0" fillId="0" borderId="43" xfId="0" applyNumberFormat="1" applyBorder="1" applyAlignment="1">
      <alignment horizontal="center" vertical="center"/>
    </xf>
    <xf numFmtId="168" fontId="3" fillId="0" borderId="26" xfId="2" applyNumberFormat="1" applyFont="1" applyBorder="1" applyAlignment="1">
      <alignment horizontal="center" vertical="center" wrapText="1"/>
    </xf>
    <xf numFmtId="166" fontId="3" fillId="3" borderId="30" xfId="0" applyNumberFormat="1" applyFont="1" applyFill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horizontal="center" vertical="center" wrapText="1"/>
    </xf>
    <xf numFmtId="166" fontId="2" fillId="3" borderId="26" xfId="1" applyNumberFormat="1" applyFont="1" applyFill="1" applyBorder="1" applyAlignment="1">
      <alignment horizontal="center" vertical="center" wrapText="1"/>
    </xf>
    <xf numFmtId="2" fontId="2" fillId="3" borderId="26" xfId="2" applyNumberFormat="1" applyFont="1" applyFill="1" applyBorder="1" applyAlignment="1">
      <alignment horizontal="center" vertical="center" wrapText="1"/>
    </xf>
    <xf numFmtId="166" fontId="2" fillId="3" borderId="36" xfId="1" applyNumberFormat="1" applyFont="1" applyFill="1" applyBorder="1" applyAlignment="1">
      <alignment horizontal="center" vertical="center" wrapText="1"/>
    </xf>
    <xf numFmtId="2" fontId="2" fillId="3" borderId="3" xfId="2" applyNumberFormat="1" applyFont="1" applyFill="1" applyBorder="1" applyAlignment="1">
      <alignment horizontal="center" vertical="center" wrapText="1"/>
    </xf>
    <xf numFmtId="166" fontId="2" fillId="3" borderId="3" xfId="2" applyNumberFormat="1" applyFont="1" applyFill="1" applyBorder="1" applyAlignment="1">
      <alignment horizontal="center" vertical="center" wrapText="1"/>
    </xf>
    <xf numFmtId="2" fontId="2" fillId="3" borderId="4" xfId="2" applyNumberFormat="1" applyFont="1" applyFill="1" applyBorder="1" applyAlignment="1">
      <alignment horizontal="center" vertical="center" wrapText="1"/>
    </xf>
    <xf numFmtId="166" fontId="2" fillId="3" borderId="4" xfId="2" applyNumberFormat="1" applyFont="1" applyFill="1" applyBorder="1" applyAlignment="1">
      <alignment horizontal="center" vertical="center" wrapText="1"/>
    </xf>
    <xf numFmtId="2" fontId="2" fillId="3" borderId="18" xfId="2" applyNumberFormat="1" applyFont="1" applyFill="1" applyBorder="1" applyAlignment="1">
      <alignment horizontal="center" vertical="center" wrapText="1"/>
    </xf>
    <xf numFmtId="166" fontId="2" fillId="3" borderId="18" xfId="2" applyNumberFormat="1" applyFont="1" applyFill="1" applyBorder="1" applyAlignment="1">
      <alignment horizontal="center" vertical="center" wrapText="1"/>
    </xf>
    <xf numFmtId="166" fontId="2" fillId="3" borderId="13" xfId="1" applyNumberFormat="1" applyFont="1" applyFill="1" applyBorder="1" applyAlignment="1">
      <alignment horizontal="center" vertical="center" wrapText="1"/>
    </xf>
    <xf numFmtId="166" fontId="2" fillId="0" borderId="27" xfId="1" applyNumberFormat="1" applyFont="1" applyBorder="1" applyAlignment="1">
      <alignment horizontal="center" vertical="center" wrapText="1"/>
    </xf>
    <xf numFmtId="166" fontId="2" fillId="0" borderId="28" xfId="1" applyNumberFormat="1" applyFont="1" applyBorder="1" applyAlignment="1">
      <alignment horizontal="center" vertical="center" wrapText="1"/>
    </xf>
    <xf numFmtId="166" fontId="2" fillId="0" borderId="29" xfId="1" applyNumberFormat="1" applyFont="1" applyBorder="1" applyAlignment="1">
      <alignment horizontal="center" vertical="center" wrapText="1"/>
    </xf>
    <xf numFmtId="9" fontId="3" fillId="0" borderId="36" xfId="2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44" fontId="7" fillId="0" borderId="0" xfId="0" applyNumberFormat="1" applyFont="1" applyAlignment="1">
      <alignment vertical="center" wrapText="1"/>
    </xf>
    <xf numFmtId="166" fontId="2" fillId="0" borderId="13" xfId="1" applyNumberFormat="1" applyFont="1" applyFill="1" applyBorder="1" applyAlignment="1">
      <alignment horizontal="center" vertical="center" wrapText="1"/>
    </xf>
    <xf numFmtId="44" fontId="2" fillId="0" borderId="15" xfId="1" applyNumberFormat="1" applyFont="1" applyFill="1" applyBorder="1" applyAlignment="1">
      <alignment horizontal="center" vertical="center" wrapText="1"/>
    </xf>
    <xf numFmtId="44" fontId="2" fillId="0" borderId="19" xfId="1" applyNumberFormat="1" applyFont="1" applyFill="1" applyBorder="1" applyAlignment="1">
      <alignment horizontal="center" vertical="center" wrapText="1"/>
    </xf>
    <xf numFmtId="166" fontId="2" fillId="3" borderId="3" xfId="2" quotePrefix="1" applyNumberFormat="1" applyFont="1" applyFill="1" applyBorder="1" applyAlignment="1">
      <alignment horizontal="center" vertical="center" wrapText="1"/>
    </xf>
    <xf numFmtId="1" fontId="2" fillId="3" borderId="26" xfId="2" applyNumberFormat="1" applyFont="1" applyFill="1" applyBorder="1" applyAlignment="1">
      <alignment horizontal="center" vertical="center" wrapText="1"/>
    </xf>
    <xf numFmtId="1" fontId="2" fillId="3" borderId="3" xfId="2" applyNumberFormat="1" applyFont="1" applyFill="1" applyBorder="1" applyAlignment="1">
      <alignment horizontal="center" vertical="center" wrapText="1"/>
    </xf>
    <xf numFmtId="1" fontId="2" fillId="3" borderId="4" xfId="2" applyNumberFormat="1" applyFont="1" applyFill="1" applyBorder="1" applyAlignment="1">
      <alignment horizontal="center" vertical="center" wrapText="1"/>
    </xf>
    <xf numFmtId="1" fontId="2" fillId="3" borderId="18" xfId="2" applyNumberFormat="1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44" fontId="3" fillId="0" borderId="25" xfId="0" applyNumberFormat="1" applyFont="1" applyBorder="1" applyAlignment="1">
      <alignment horizontal="center" vertical="center" wrapText="1"/>
    </xf>
    <xf numFmtId="44" fontId="3" fillId="0" borderId="11" xfId="0" applyNumberFormat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37" xfId="0" applyFont="1" applyBorder="1" applyAlignment="1">
      <alignment horizontal="center" vertical="top" wrapText="1"/>
    </xf>
    <xf numFmtId="0" fontId="12" fillId="0" borderId="38" xfId="0" applyFont="1" applyBorder="1" applyAlignment="1">
      <alignment horizontal="center" vertical="top"/>
    </xf>
    <xf numFmtId="0" fontId="12" fillId="0" borderId="39" xfId="0" applyFont="1" applyBorder="1" applyAlignment="1">
      <alignment horizontal="center" vertical="top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</cellXfs>
  <cellStyles count="3">
    <cellStyle name="Normal" xfId="0" builtinId="0"/>
    <cellStyle name="Percentagem" xfId="2" builtinId="5"/>
    <cellStyle name="Vírgula" xfId="1" builtinId="3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CF2"/>
      <color rgb="FFCCFF99"/>
      <color rgb="FFEF89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2800" b="1"/>
              <a:t>Vendas Diárias Fardin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9598591221144797E-2"/>
          <c:y val="7.1939956657333451E-2"/>
          <c:w val="0.95603927663203581"/>
          <c:h val="0.84940088052657758"/>
        </c:manualLayout>
      </c:layout>
      <c:barChart>
        <c:barDir val="col"/>
        <c:grouping val="clustered"/>
        <c:varyColors val="0"/>
        <c:ser>
          <c:idx val="1"/>
          <c:order val="1"/>
          <c:tx>
            <c:v>Venda Realizada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'Mai26'!$H$44:$H$74</c:f>
              <c:numCache>
                <c:formatCode>d/m;@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'Mai26'!$K$44:$K$74</c:f>
              <c:numCache>
                <c:formatCode>#,##0_ ;\-#,##0\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E-43E1-BFF0-F6F158B7AEFA}"/>
            </c:ext>
          </c:extLst>
        </c:ser>
        <c:ser>
          <c:idx val="2"/>
          <c:order val="2"/>
          <c:tx>
            <c:v>Venda Realizada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'Mai26'!$H$44:$H$74</c:f>
              <c:numCache>
                <c:formatCode>d/m;@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'Mai26'!$L$44:$L$74</c:f>
              <c:numCache>
                <c:formatCode>#,##0_ ;\-#,##0\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5394.28</c:v>
                </c:pt>
                <c:pt idx="4">
                  <c:v>20093.310000000001</c:v>
                </c:pt>
                <c:pt idx="5">
                  <c:v>56942.78</c:v>
                </c:pt>
                <c:pt idx="6">
                  <c:v>83660</c:v>
                </c:pt>
                <c:pt idx="7">
                  <c:v>96130.13</c:v>
                </c:pt>
                <c:pt idx="8">
                  <c:v>96130.13</c:v>
                </c:pt>
                <c:pt idx="9">
                  <c:v>96130.13</c:v>
                </c:pt>
                <c:pt idx="10">
                  <c:v>108284.16</c:v>
                </c:pt>
                <c:pt idx="11">
                  <c:v>129794.77</c:v>
                </c:pt>
                <c:pt idx="12">
                  <c:v>144427.29999999999</c:v>
                </c:pt>
                <c:pt idx="13">
                  <c:v>155036.69</c:v>
                </c:pt>
                <c:pt idx="14">
                  <c:v>168418.59</c:v>
                </c:pt>
                <c:pt idx="15">
                  <c:v>168418.59</c:v>
                </c:pt>
                <c:pt idx="16">
                  <c:v>168418.59</c:v>
                </c:pt>
                <c:pt idx="17">
                  <c:v>175716.36</c:v>
                </c:pt>
                <c:pt idx="18">
                  <c:v>182384.77</c:v>
                </c:pt>
                <c:pt idx="19">
                  <c:v>193970.09999999998</c:v>
                </c:pt>
                <c:pt idx="20">
                  <c:v>221809.36</c:v>
                </c:pt>
                <c:pt idx="21">
                  <c:v>245989.96999999997</c:v>
                </c:pt>
                <c:pt idx="22">
                  <c:v>245989.96999999997</c:v>
                </c:pt>
                <c:pt idx="23">
                  <c:v>245989.96999999997</c:v>
                </c:pt>
                <c:pt idx="24">
                  <c:v>297727.67</c:v>
                </c:pt>
                <c:pt idx="25">
                  <c:v>320189.57</c:v>
                </c:pt>
                <c:pt idx="26">
                  <c:v>350205.16000000003</c:v>
                </c:pt>
                <c:pt idx="27">
                  <c:v>372767.21</c:v>
                </c:pt>
                <c:pt idx="28">
                  <c:v>489252.47000000003</c:v>
                </c:pt>
                <c:pt idx="29">
                  <c:v>489252.47000000003</c:v>
                </c:pt>
                <c:pt idx="30">
                  <c:v>489252.47000000003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E-43E1-BFF0-F6F158B7AE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4936575"/>
        <c:axId val="974940895"/>
      </c:barChart>
      <c:lineChart>
        <c:grouping val="standard"/>
        <c:varyColors val="0"/>
        <c:ser>
          <c:idx val="0"/>
          <c:order val="0"/>
          <c:tx>
            <c:strRef>
              <c:f>'Mai26'!$I$43</c:f>
              <c:strCache>
                <c:ptCount val="1"/>
                <c:pt idx="0">
                  <c:v>Venda Projetada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'Mai26'!$H$44:$H$74</c:f>
              <c:numCache>
                <c:formatCode>d/m;@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'Mai26'!$I$44:$I$74</c:f>
              <c:numCache>
                <c:formatCode>#,##0_ ;\-#,##0\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40000</c:v>
                </c:pt>
                <c:pt idx="4">
                  <c:v>80000</c:v>
                </c:pt>
                <c:pt idx="5">
                  <c:v>120000</c:v>
                </c:pt>
                <c:pt idx="6">
                  <c:v>160000</c:v>
                </c:pt>
                <c:pt idx="7">
                  <c:v>200000</c:v>
                </c:pt>
                <c:pt idx="8">
                  <c:v>200000</c:v>
                </c:pt>
                <c:pt idx="9">
                  <c:v>200000</c:v>
                </c:pt>
                <c:pt idx="10">
                  <c:v>240000</c:v>
                </c:pt>
                <c:pt idx="11">
                  <c:v>280000</c:v>
                </c:pt>
                <c:pt idx="12">
                  <c:v>320000</c:v>
                </c:pt>
                <c:pt idx="13">
                  <c:v>360000</c:v>
                </c:pt>
                <c:pt idx="14">
                  <c:v>400000</c:v>
                </c:pt>
                <c:pt idx="15">
                  <c:v>400000</c:v>
                </c:pt>
                <c:pt idx="16">
                  <c:v>400000</c:v>
                </c:pt>
                <c:pt idx="17">
                  <c:v>440000</c:v>
                </c:pt>
                <c:pt idx="18">
                  <c:v>480000</c:v>
                </c:pt>
                <c:pt idx="19">
                  <c:v>520000</c:v>
                </c:pt>
                <c:pt idx="20">
                  <c:v>560000</c:v>
                </c:pt>
                <c:pt idx="21">
                  <c:v>600000</c:v>
                </c:pt>
                <c:pt idx="22">
                  <c:v>600000</c:v>
                </c:pt>
                <c:pt idx="23">
                  <c:v>600000</c:v>
                </c:pt>
                <c:pt idx="24">
                  <c:v>640000</c:v>
                </c:pt>
                <c:pt idx="25">
                  <c:v>680000</c:v>
                </c:pt>
                <c:pt idx="26">
                  <c:v>720000</c:v>
                </c:pt>
                <c:pt idx="27">
                  <c:v>760000</c:v>
                </c:pt>
                <c:pt idx="28">
                  <c:v>800000</c:v>
                </c:pt>
                <c:pt idx="29">
                  <c:v>800000</c:v>
                </c:pt>
                <c:pt idx="30">
                  <c:v>840000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E-43E1-BFF0-F6F158B7AE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4936575"/>
        <c:axId val="974940895"/>
      </c:lineChart>
      <c:dateAx>
        <c:axId val="974936575"/>
        <c:scaling>
          <c:orientation val="minMax"/>
        </c:scaling>
        <c:delete val="0"/>
        <c:axPos val="b"/>
        <c:numFmt formatCode="d/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940895"/>
        <c:crosses val="autoZero"/>
        <c:auto val="1"/>
        <c:lblOffset val="100"/>
        <c:baseTimeUnit val="days"/>
      </c:dateAx>
      <c:valAx>
        <c:axId val="9749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93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2800" b="1"/>
              <a:t>Vendas Diárias Fardin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9598591221144797E-2"/>
          <c:y val="7.1939956657333451E-2"/>
          <c:w val="0.95603927663203581"/>
          <c:h val="0.84940088052657758"/>
        </c:manualLayout>
      </c:layout>
      <c:barChart>
        <c:barDir val="col"/>
        <c:grouping val="clustered"/>
        <c:varyColors val="0"/>
        <c:ser>
          <c:idx val="1"/>
          <c:order val="1"/>
          <c:tx>
            <c:v>Venda Realizada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'Jun26'!$H$44:$H$74</c:f>
              <c:numCache>
                <c:formatCode>d/m;@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'Jun26'!$K$44:$K$74</c:f>
              <c:numCache>
                <c:formatCode>#,##0_ ;\-#,##0\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550966.04</c:v>
                </c:pt>
                <c:pt idx="19">
                  <c:v>550966.04</c:v>
                </c:pt>
                <c:pt idx="20">
                  <c:v>550966.04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6-4D1E-B914-333D78584CE5}"/>
            </c:ext>
          </c:extLst>
        </c:ser>
        <c:ser>
          <c:idx val="2"/>
          <c:order val="2"/>
          <c:tx>
            <c:v>Venda Realizada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'Jun26'!$H$44:$H$74</c:f>
              <c:numCache>
                <c:formatCode>d/m;@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'Jun26'!$L$44:$L$74</c:f>
              <c:numCache>
                <c:formatCode>#,##0_ ;\-#,##0\ </c:formatCode>
                <c:ptCount val="31"/>
                <c:pt idx="0">
                  <c:v>14019.64</c:v>
                </c:pt>
                <c:pt idx="1">
                  <c:v>39324.239999999998</c:v>
                </c:pt>
                <c:pt idx="2">
                  <c:v>55149.88</c:v>
                </c:pt>
                <c:pt idx="3">
                  <c:v>55149.88</c:v>
                </c:pt>
                <c:pt idx="4">
                  <c:v>127424.84</c:v>
                </c:pt>
                <c:pt idx="5">
                  <c:v>127424.84</c:v>
                </c:pt>
                <c:pt idx="6">
                  <c:v>127424.84</c:v>
                </c:pt>
                <c:pt idx="7">
                  <c:v>182412.89</c:v>
                </c:pt>
                <c:pt idx="8">
                  <c:v>231533.90000000002</c:v>
                </c:pt>
                <c:pt idx="9">
                  <c:v>248991.34000000003</c:v>
                </c:pt>
                <c:pt idx="10">
                  <c:v>279500.08</c:v>
                </c:pt>
                <c:pt idx="11">
                  <c:v>296402.54000000004</c:v>
                </c:pt>
                <c:pt idx="12">
                  <c:v>296402.54000000004</c:v>
                </c:pt>
                <c:pt idx="13">
                  <c:v>296402.54000000004</c:v>
                </c:pt>
                <c:pt idx="14">
                  <c:v>308750.75000000006</c:v>
                </c:pt>
                <c:pt idx="15">
                  <c:v>377967.88000000006</c:v>
                </c:pt>
                <c:pt idx="16">
                  <c:v>412929.07000000007</c:v>
                </c:pt>
                <c:pt idx="17">
                  <c:v>483266.01000000007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574010.52</c:v>
                </c:pt>
                <c:pt idx="22">
                  <c:v>610924.4</c:v>
                </c:pt>
                <c:pt idx="23">
                  <c:v>616112.71000000008</c:v>
                </c:pt>
                <c:pt idx="24">
                  <c:v>636931.44000000006</c:v>
                </c:pt>
                <c:pt idx="25">
                  <c:v>662104.04</c:v>
                </c:pt>
                <c:pt idx="26">
                  <c:v>662104.04</c:v>
                </c:pt>
                <c:pt idx="27">
                  <c:v>662104.04</c:v>
                </c:pt>
                <c:pt idx="28">
                  <c:v>668101.18000000005</c:v>
                </c:pt>
                <c:pt idx="29">
                  <c:v>731809.49</c:v>
                </c:pt>
                <c:pt idx="30">
                  <c:v>731809.49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6-4D1E-B914-333D78584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4936575"/>
        <c:axId val="974940895"/>
      </c:barChart>
      <c:lineChart>
        <c:grouping val="standard"/>
        <c:varyColors val="0"/>
        <c:ser>
          <c:idx val="0"/>
          <c:order val="0"/>
          <c:tx>
            <c:strRef>
              <c:f>'Jun26'!$I$43</c:f>
              <c:strCache>
                <c:ptCount val="1"/>
                <c:pt idx="0">
                  <c:v>Venda Projetada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'Jun26'!$H$44:$H$74</c:f>
              <c:numCache>
                <c:formatCode>d/m;@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'Jun26'!$I$44:$I$74</c:f>
              <c:numCache>
                <c:formatCode>#,##0_ ;\-#,##0\ </c:formatCode>
                <c:ptCount val="31"/>
                <c:pt idx="0">
                  <c:v>38809.523809523809</c:v>
                </c:pt>
                <c:pt idx="1">
                  <c:v>77619.047619047618</c:v>
                </c:pt>
                <c:pt idx="2">
                  <c:v>116428.57142857142</c:v>
                </c:pt>
                <c:pt idx="3">
                  <c:v>116428.57142857142</c:v>
                </c:pt>
                <c:pt idx="4">
                  <c:v>155238.09523809524</c:v>
                </c:pt>
                <c:pt idx="5">
                  <c:v>155238.09523809524</c:v>
                </c:pt>
                <c:pt idx="6">
                  <c:v>155238.09523809524</c:v>
                </c:pt>
                <c:pt idx="7">
                  <c:v>194047.61904761905</c:v>
                </c:pt>
                <c:pt idx="8">
                  <c:v>232857.14285714284</c:v>
                </c:pt>
                <c:pt idx="9">
                  <c:v>271666.66666666669</c:v>
                </c:pt>
                <c:pt idx="10">
                  <c:v>310476.19047619047</c:v>
                </c:pt>
                <c:pt idx="11">
                  <c:v>349285.71428571426</c:v>
                </c:pt>
                <c:pt idx="12">
                  <c:v>349285.71428571426</c:v>
                </c:pt>
                <c:pt idx="13">
                  <c:v>349285.71428571426</c:v>
                </c:pt>
                <c:pt idx="14">
                  <c:v>388095.23809523811</c:v>
                </c:pt>
                <c:pt idx="15">
                  <c:v>426904.76190476189</c:v>
                </c:pt>
                <c:pt idx="16">
                  <c:v>465714.28571428568</c:v>
                </c:pt>
                <c:pt idx="17">
                  <c:v>504523.80952380953</c:v>
                </c:pt>
                <c:pt idx="18">
                  <c:v>543333.33333333337</c:v>
                </c:pt>
                <c:pt idx="19">
                  <c:v>543333.33333333337</c:v>
                </c:pt>
                <c:pt idx="20">
                  <c:v>543333.33333333337</c:v>
                </c:pt>
                <c:pt idx="21">
                  <c:v>582142.85714285716</c:v>
                </c:pt>
                <c:pt idx="22">
                  <c:v>620952.38095238095</c:v>
                </c:pt>
                <c:pt idx="23">
                  <c:v>659761.90476190473</c:v>
                </c:pt>
                <c:pt idx="24">
                  <c:v>698571.42857142852</c:v>
                </c:pt>
                <c:pt idx="25">
                  <c:v>737380.95238095243</c:v>
                </c:pt>
                <c:pt idx="26">
                  <c:v>737380.95238095243</c:v>
                </c:pt>
                <c:pt idx="27">
                  <c:v>737380.95238095243</c:v>
                </c:pt>
                <c:pt idx="28">
                  <c:v>776190.47619047621</c:v>
                </c:pt>
                <c:pt idx="29">
                  <c:v>815000</c:v>
                </c:pt>
                <c:pt idx="30">
                  <c:v>853809.52380952379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26-4D1E-B914-333D78584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4936575"/>
        <c:axId val="974940895"/>
      </c:lineChart>
      <c:dateAx>
        <c:axId val="974936575"/>
        <c:scaling>
          <c:orientation val="minMax"/>
        </c:scaling>
        <c:delete val="0"/>
        <c:axPos val="b"/>
        <c:numFmt formatCode="d/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940895"/>
        <c:crosses val="autoZero"/>
        <c:auto val="1"/>
        <c:lblOffset val="100"/>
        <c:baseTimeUnit val="days"/>
      </c:dateAx>
      <c:valAx>
        <c:axId val="9749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93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2800" b="1"/>
              <a:t>Vendas Diárias Fardin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9598591221144797E-2"/>
          <c:y val="7.1939956657333451E-2"/>
          <c:w val="0.95603927663203581"/>
          <c:h val="0.84940088052657758"/>
        </c:manualLayout>
      </c:layout>
      <c:barChart>
        <c:barDir val="col"/>
        <c:grouping val="clustered"/>
        <c:varyColors val="0"/>
        <c:ser>
          <c:idx val="1"/>
          <c:order val="1"/>
          <c:tx>
            <c:v>Venda Realizada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'Jul26'!$H$44:$H$74</c:f>
              <c:numCache>
                <c:formatCode>d/m;@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'Jul26'!$K$44:$K$74</c:f>
              <c:numCache>
                <c:formatCode>#,##0_ ;\-#,##0\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5-460B-98F0-FEBC4399C6F3}"/>
            </c:ext>
          </c:extLst>
        </c:ser>
        <c:ser>
          <c:idx val="2"/>
          <c:order val="2"/>
          <c:tx>
            <c:v>Venda Realizada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'Jul26'!$H$44:$H$74</c:f>
              <c:numCache>
                <c:formatCode>d/m;@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'Jul26'!$L$44:$L$74</c:f>
              <c:numCache>
                <c:formatCode>#,##0_ ;\-#,##0\ </c:formatCode>
                <c:ptCount val="31"/>
                <c:pt idx="0">
                  <c:v>5782.28</c:v>
                </c:pt>
                <c:pt idx="1">
                  <c:v>23678.45</c:v>
                </c:pt>
                <c:pt idx="2">
                  <c:v>50634.79</c:v>
                </c:pt>
                <c:pt idx="3">
                  <c:v>50634.79</c:v>
                </c:pt>
                <c:pt idx="4">
                  <c:v>50634.79</c:v>
                </c:pt>
                <c:pt idx="5">
                  <c:v>50634.79</c:v>
                </c:pt>
                <c:pt idx="6">
                  <c:v>50634.79</c:v>
                </c:pt>
                <c:pt idx="7">
                  <c:v>50634.79</c:v>
                </c:pt>
                <c:pt idx="8">
                  <c:v>50634.79</c:v>
                </c:pt>
                <c:pt idx="9">
                  <c:v>50634.79</c:v>
                </c:pt>
                <c:pt idx="10">
                  <c:v>50634.79</c:v>
                </c:pt>
                <c:pt idx="11">
                  <c:v>50634.79</c:v>
                </c:pt>
                <c:pt idx="12">
                  <c:v>50634.79</c:v>
                </c:pt>
                <c:pt idx="13">
                  <c:v>50634.79</c:v>
                </c:pt>
                <c:pt idx="14">
                  <c:v>50634.79</c:v>
                </c:pt>
                <c:pt idx="15">
                  <c:v>50634.79</c:v>
                </c:pt>
                <c:pt idx="16">
                  <c:v>50634.79</c:v>
                </c:pt>
                <c:pt idx="17">
                  <c:v>50634.79</c:v>
                </c:pt>
                <c:pt idx="18">
                  <c:v>50634.79</c:v>
                </c:pt>
                <c:pt idx="19">
                  <c:v>50634.79</c:v>
                </c:pt>
                <c:pt idx="20">
                  <c:v>50634.79</c:v>
                </c:pt>
                <c:pt idx="21">
                  <c:v>50634.79</c:v>
                </c:pt>
                <c:pt idx="22">
                  <c:v>50634.79</c:v>
                </c:pt>
                <c:pt idx="23">
                  <c:v>50634.79</c:v>
                </c:pt>
                <c:pt idx="24">
                  <c:v>50634.79</c:v>
                </c:pt>
                <c:pt idx="25">
                  <c:v>50634.79</c:v>
                </c:pt>
                <c:pt idx="26">
                  <c:v>50634.79</c:v>
                </c:pt>
                <c:pt idx="27">
                  <c:v>50634.79</c:v>
                </c:pt>
                <c:pt idx="28">
                  <c:v>50634.79</c:v>
                </c:pt>
                <c:pt idx="29">
                  <c:v>50634.79</c:v>
                </c:pt>
                <c:pt idx="30">
                  <c:v>50634.79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5-460B-98F0-FEBC4399C6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4936575"/>
        <c:axId val="974940895"/>
      </c:barChart>
      <c:lineChart>
        <c:grouping val="standard"/>
        <c:varyColors val="0"/>
        <c:ser>
          <c:idx val="0"/>
          <c:order val="0"/>
          <c:tx>
            <c:strRef>
              <c:f>'Jul26'!$I$43</c:f>
              <c:strCache>
                <c:ptCount val="1"/>
                <c:pt idx="0">
                  <c:v>Venda Projetada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'Jul26'!$H$44:$H$74</c:f>
              <c:numCache>
                <c:formatCode>d/m;@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'Jul26'!$I$44:$I$74</c:f>
              <c:numCache>
                <c:formatCode>#,##0_ ;\-#,##0\ </c:formatCode>
                <c:ptCount val="31"/>
                <c:pt idx="0">
                  <c:v>35434.782608695656</c:v>
                </c:pt>
                <c:pt idx="1">
                  <c:v>70869.565217391311</c:v>
                </c:pt>
                <c:pt idx="2">
                  <c:v>106304.34782608697</c:v>
                </c:pt>
                <c:pt idx="3">
                  <c:v>106304.34782608697</c:v>
                </c:pt>
                <c:pt idx="4">
                  <c:v>106304.34782608697</c:v>
                </c:pt>
                <c:pt idx="5">
                  <c:v>141739.13043478262</c:v>
                </c:pt>
                <c:pt idx="6">
                  <c:v>177173.91304347827</c:v>
                </c:pt>
                <c:pt idx="7">
                  <c:v>212608.69565217395</c:v>
                </c:pt>
                <c:pt idx="8">
                  <c:v>248043.4782608696</c:v>
                </c:pt>
                <c:pt idx="9">
                  <c:v>283478.26086956525</c:v>
                </c:pt>
                <c:pt idx="10">
                  <c:v>283478.26086956525</c:v>
                </c:pt>
                <c:pt idx="11">
                  <c:v>283478.26086956525</c:v>
                </c:pt>
                <c:pt idx="12">
                  <c:v>318913.04347826092</c:v>
                </c:pt>
                <c:pt idx="13">
                  <c:v>354347.82608695654</c:v>
                </c:pt>
                <c:pt idx="14">
                  <c:v>389782.60869565222</c:v>
                </c:pt>
                <c:pt idx="15">
                  <c:v>425217.3913043479</c:v>
                </c:pt>
                <c:pt idx="16">
                  <c:v>460652.17391304352</c:v>
                </c:pt>
                <c:pt idx="17">
                  <c:v>460652.17391304352</c:v>
                </c:pt>
                <c:pt idx="18">
                  <c:v>460652.17391304352</c:v>
                </c:pt>
                <c:pt idx="19">
                  <c:v>496086.95652173919</c:v>
                </c:pt>
                <c:pt idx="20">
                  <c:v>531521.73913043481</c:v>
                </c:pt>
                <c:pt idx="21">
                  <c:v>566956.52173913049</c:v>
                </c:pt>
                <c:pt idx="22">
                  <c:v>602391.30434782617</c:v>
                </c:pt>
                <c:pt idx="23">
                  <c:v>637826.08695652185</c:v>
                </c:pt>
                <c:pt idx="24">
                  <c:v>637826.08695652185</c:v>
                </c:pt>
                <c:pt idx="25">
                  <c:v>637826.08695652185</c:v>
                </c:pt>
                <c:pt idx="26">
                  <c:v>673260.86956521741</c:v>
                </c:pt>
                <c:pt idx="27">
                  <c:v>708695.65217391308</c:v>
                </c:pt>
                <c:pt idx="28">
                  <c:v>744130.43478260876</c:v>
                </c:pt>
                <c:pt idx="29">
                  <c:v>779565.21739130444</c:v>
                </c:pt>
                <c:pt idx="30">
                  <c:v>815000.00000000012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D5-460B-98F0-FEBC4399C6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4936575"/>
        <c:axId val="974940895"/>
      </c:lineChart>
      <c:dateAx>
        <c:axId val="974936575"/>
        <c:scaling>
          <c:orientation val="minMax"/>
        </c:scaling>
        <c:delete val="0"/>
        <c:axPos val="b"/>
        <c:numFmt formatCode="d/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940895"/>
        <c:crosses val="autoZero"/>
        <c:auto val="1"/>
        <c:lblOffset val="100"/>
        <c:baseTimeUnit val="days"/>
      </c:dateAx>
      <c:valAx>
        <c:axId val="9749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93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2</xdr:row>
      <xdr:rowOff>590550</xdr:rowOff>
    </xdr:from>
    <xdr:to>
      <xdr:col>4</xdr:col>
      <xdr:colOff>76200</xdr:colOff>
      <xdr:row>2</xdr:row>
      <xdr:rowOff>1066800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718902-E126-45A0-B05B-CF6BBC9D0005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38200"/>
          <a:ext cx="1152525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942975</xdr:colOff>
      <xdr:row>4</xdr:row>
      <xdr:rowOff>9525</xdr:rowOff>
    </xdr:from>
    <xdr:to>
      <xdr:col>25</xdr:col>
      <xdr:colOff>942975</xdr:colOff>
      <xdr:row>4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937A9AD-A2C2-438C-BE45-BF70682C5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9550" y="4857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12</xdr:col>
      <xdr:colOff>1066800</xdr:colOff>
      <xdr:row>3</xdr:row>
      <xdr:rowOff>0</xdr:rowOff>
    </xdr:from>
    <xdr:to>
      <xdr:col>14</xdr:col>
      <xdr:colOff>409575</xdr:colOff>
      <xdr:row>4</xdr:row>
      <xdr:rowOff>266700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70ED52-6EA0-FE6C-524E-964D6C670F01}"/>
            </a:ext>
            <a:ext uri="{147F2762-F138-4A5C-976F-8EAC2B608ADB}">
              <a16:predDERef xmlns:a16="http://schemas.microsoft.com/office/drawing/2014/main" pred="{0937A9AD-A2C2-438C-BE45-BF70682C5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3900" y="752475"/>
          <a:ext cx="1552575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942975</xdr:colOff>
      <xdr:row>4</xdr:row>
      <xdr:rowOff>9525</xdr:rowOff>
    </xdr:from>
    <xdr:to>
      <xdr:col>25</xdr:col>
      <xdr:colOff>942975</xdr:colOff>
      <xdr:row>4</xdr:row>
      <xdr:rowOff>9525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DC15185-B111-44AC-8A52-F13634E8A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2050" y="10953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3</xdr:row>
      <xdr:rowOff>9525</xdr:rowOff>
    </xdr:from>
    <xdr:to>
      <xdr:col>14</xdr:col>
      <xdr:colOff>1038225</xdr:colOff>
      <xdr:row>4</xdr:row>
      <xdr:rowOff>276225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D501EAC0-C0AB-4E21-80B0-C095C84D231B}"/>
            </a:ext>
            <a:ext uri="{147F2762-F138-4A5C-976F-8EAC2B608ADB}">
              <a16:predDERef xmlns:a16="http://schemas.microsoft.com/office/drawing/2014/main" pred="{0DC15185-B111-44AC-8A52-F13634E8A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2550" y="762000"/>
          <a:ext cx="1552575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942975</xdr:colOff>
      <xdr:row>4</xdr:row>
      <xdr:rowOff>9525</xdr:rowOff>
    </xdr:from>
    <xdr:to>
      <xdr:col>25</xdr:col>
      <xdr:colOff>942975</xdr:colOff>
      <xdr:row>4</xdr:row>
      <xdr:rowOff>9525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242C7B6-BEF7-4622-A94A-9069A127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6950" y="10953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3</xdr:row>
      <xdr:rowOff>9525</xdr:rowOff>
    </xdr:from>
    <xdr:to>
      <xdr:col>14</xdr:col>
      <xdr:colOff>1038225</xdr:colOff>
      <xdr:row>4</xdr:row>
      <xdr:rowOff>276225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D53E68D4-CE2F-4ADC-8784-71CBE2FD27EE}"/>
            </a:ext>
            <a:ext uri="{147F2762-F138-4A5C-976F-8EAC2B608ADB}">
              <a16:predDERef xmlns:a16="http://schemas.microsoft.com/office/drawing/2014/main" pred="{B242C7B6-BEF7-4622-A94A-9069A127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2550" y="762000"/>
          <a:ext cx="155257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942975</xdr:colOff>
      <xdr:row>4</xdr:row>
      <xdr:rowOff>9525</xdr:rowOff>
    </xdr:from>
    <xdr:to>
      <xdr:col>25</xdr:col>
      <xdr:colOff>942975</xdr:colOff>
      <xdr:row>4</xdr:row>
      <xdr:rowOff>9525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FE6C88D-30D8-4764-8F90-A06922CC1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6950" y="10953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3</xdr:row>
      <xdr:rowOff>9525</xdr:rowOff>
    </xdr:from>
    <xdr:to>
      <xdr:col>14</xdr:col>
      <xdr:colOff>1038225</xdr:colOff>
      <xdr:row>4</xdr:row>
      <xdr:rowOff>276225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290F6543-33BC-4917-A084-C2172339CC40}"/>
            </a:ext>
            <a:ext uri="{147F2762-F138-4A5C-976F-8EAC2B608ADB}">
              <a16:predDERef xmlns:a16="http://schemas.microsoft.com/office/drawing/2014/main" pred="{6FE6C88D-30D8-4764-8F90-A06922CC1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2550" y="762000"/>
          <a:ext cx="1552575" cy="600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152401</xdr:rowOff>
    </xdr:from>
    <xdr:to>
      <xdr:col>23</xdr:col>
      <xdr:colOff>65313</xdr:colOff>
      <xdr:row>83</xdr:row>
      <xdr:rowOff>152401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08959C-9610-879F-74CA-97558FBB799D}"/>
            </a:ext>
            <a:ext uri="{147F2762-F138-4A5C-976F-8EAC2B608ADB}">
              <a16:predDERef xmlns:a16="http://schemas.microsoft.com/office/drawing/2014/main" pred="{290F6543-33BC-4917-A084-C2172339C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942975</xdr:colOff>
      <xdr:row>4</xdr:row>
      <xdr:rowOff>9525</xdr:rowOff>
    </xdr:from>
    <xdr:to>
      <xdr:col>26</xdr:col>
      <xdr:colOff>942975</xdr:colOff>
      <xdr:row>4</xdr:row>
      <xdr:rowOff>9525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AE42552-0F3F-4044-B084-0958A6AB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02600" y="10953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3</xdr:row>
      <xdr:rowOff>9525</xdr:rowOff>
    </xdr:from>
    <xdr:to>
      <xdr:col>14</xdr:col>
      <xdr:colOff>1038225</xdr:colOff>
      <xdr:row>4</xdr:row>
      <xdr:rowOff>276225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C5D26D8-AD6F-4DB7-8AD7-BBBCF33CC023}"/>
            </a:ext>
            <a:ext uri="{147F2762-F138-4A5C-976F-8EAC2B608ADB}">
              <a16:predDERef xmlns:a16="http://schemas.microsoft.com/office/drawing/2014/main" pred="{FAE42552-0F3F-4044-B084-0958A6AB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3950" y="762000"/>
          <a:ext cx="1552575" cy="600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152401</xdr:rowOff>
    </xdr:from>
    <xdr:to>
      <xdr:col>24</xdr:col>
      <xdr:colOff>65313</xdr:colOff>
      <xdr:row>83</xdr:row>
      <xdr:rowOff>152401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A06FF9-40CF-427C-B4A8-7D069CFAE6CE}"/>
            </a:ext>
            <a:ext uri="{147F2762-F138-4A5C-976F-8EAC2B608ADB}">
              <a16:predDERef xmlns:a16="http://schemas.microsoft.com/office/drawing/2014/main" pred="{0C5D26D8-AD6F-4DB7-8AD7-BBBCF33CC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942975</xdr:colOff>
      <xdr:row>4</xdr:row>
      <xdr:rowOff>9525</xdr:rowOff>
    </xdr:from>
    <xdr:to>
      <xdr:col>26</xdr:col>
      <xdr:colOff>942975</xdr:colOff>
      <xdr:row>4</xdr:row>
      <xdr:rowOff>9525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D9D4E58-7CD6-416B-BBB9-B7425AA23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2350" y="10953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3</xdr:row>
      <xdr:rowOff>9525</xdr:rowOff>
    </xdr:from>
    <xdr:to>
      <xdr:col>14</xdr:col>
      <xdr:colOff>1038225</xdr:colOff>
      <xdr:row>4</xdr:row>
      <xdr:rowOff>276225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2AEE1BBA-6CA9-4DA1-9381-B1FEF3EEC8C2}"/>
            </a:ext>
            <a:ext uri="{147F2762-F138-4A5C-976F-8EAC2B608ADB}">
              <a16:predDERef xmlns:a16="http://schemas.microsoft.com/office/drawing/2014/main" pred="{9D9D4E58-7CD6-416B-BBB9-B7425AA23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8800" y="762000"/>
          <a:ext cx="1552575" cy="600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152401</xdr:rowOff>
    </xdr:from>
    <xdr:to>
      <xdr:col>24</xdr:col>
      <xdr:colOff>65313</xdr:colOff>
      <xdr:row>83</xdr:row>
      <xdr:rowOff>152401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B8F406-59E5-40D8-9D09-A704CE2ABF4B}"/>
            </a:ext>
            <a:ext uri="{147F2762-F138-4A5C-976F-8EAC2B608ADB}">
              <a16:predDERef xmlns:a16="http://schemas.microsoft.com/office/drawing/2014/main" pred="{2AEE1BBA-6CA9-4DA1-9381-B1FEF3EEC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91D3-E705-4300-859E-F5B4527EF2FA}">
  <sheetPr>
    <tabColor rgb="FFFFC000"/>
  </sheetPr>
  <dimension ref="B1:K14"/>
  <sheetViews>
    <sheetView showGridLines="0" workbookViewId="0">
      <selection activeCell="H15" sqref="H15"/>
    </sheetView>
  </sheetViews>
  <sheetFormatPr defaultRowHeight="14.45"/>
  <cols>
    <col min="1" max="1" width="1.7109375" customWidth="1"/>
    <col min="2" max="2" width="17.5703125" bestFit="1" customWidth="1"/>
    <col min="3" max="3" width="10" bestFit="1" customWidth="1"/>
    <col min="4" max="4" width="17.85546875" bestFit="1" customWidth="1"/>
    <col min="5" max="6" width="16.42578125" bestFit="1" customWidth="1"/>
    <col min="7" max="7" width="1.7109375" customWidth="1"/>
    <col min="9" max="9" width="13.7109375" bestFit="1" customWidth="1"/>
    <col min="10" max="10" width="16.42578125" bestFit="1" customWidth="1"/>
    <col min="11" max="11" width="14.7109375" bestFit="1" customWidth="1"/>
  </cols>
  <sheetData>
    <row r="1" spans="2:11" ht="9.75" customHeight="1"/>
    <row r="2" spans="2:11" ht="9.75" customHeight="1">
      <c r="B2" s="47"/>
      <c r="C2" s="126"/>
      <c r="D2" s="126"/>
      <c r="E2" s="126"/>
    </row>
    <row r="3" spans="2:11" ht="93" customHeight="1">
      <c r="B3" s="127" t="s">
        <v>0</v>
      </c>
      <c r="C3" s="128"/>
      <c r="D3" s="128"/>
      <c r="E3" s="128"/>
      <c r="F3" s="129"/>
    </row>
    <row r="4" spans="2:11">
      <c r="B4" s="48" t="s">
        <v>1</v>
      </c>
      <c r="C4" s="48" t="s">
        <v>2</v>
      </c>
      <c r="D4" s="48" t="s">
        <v>3</v>
      </c>
      <c r="E4" s="48" t="s">
        <v>4</v>
      </c>
      <c r="F4" s="48" t="s">
        <v>5</v>
      </c>
      <c r="I4" t="s">
        <v>6</v>
      </c>
      <c r="J4" t="s">
        <v>7</v>
      </c>
      <c r="K4" t="s">
        <v>8</v>
      </c>
    </row>
    <row r="5" spans="2:11">
      <c r="B5" s="130" t="s">
        <v>9</v>
      </c>
      <c r="C5" s="49" t="s">
        <v>10</v>
      </c>
      <c r="D5" s="50">
        <v>0.16</v>
      </c>
      <c r="E5" s="51">
        <v>1824000</v>
      </c>
      <c r="F5" s="51">
        <v>608000</v>
      </c>
      <c r="I5" s="52">
        <f>E5*0.05</f>
        <v>91200</v>
      </c>
      <c r="J5" s="52">
        <f>E5-I5</f>
        <v>1732800</v>
      </c>
      <c r="K5" s="52">
        <f>J5-410000-600000</f>
        <v>722800</v>
      </c>
    </row>
    <row r="6" spans="2:11">
      <c r="B6" s="131"/>
      <c r="C6" s="53" t="s">
        <v>11</v>
      </c>
      <c r="D6" s="54">
        <v>0.24</v>
      </c>
      <c r="E6" s="55">
        <v>2736000</v>
      </c>
      <c r="F6" s="55">
        <v>912000</v>
      </c>
    </row>
    <row r="7" spans="2:11">
      <c r="B7" s="131"/>
      <c r="C7" s="53" t="s">
        <v>12</v>
      </c>
      <c r="D7" s="54">
        <v>0.36</v>
      </c>
      <c r="E7" s="55">
        <v>4104000</v>
      </c>
      <c r="F7" s="55">
        <v>1368000</v>
      </c>
    </row>
    <row r="8" spans="2:11">
      <c r="B8" s="132"/>
      <c r="C8" s="56" t="s">
        <v>13</v>
      </c>
      <c r="D8" s="57">
        <v>0.24</v>
      </c>
      <c r="E8" s="58">
        <v>2736000</v>
      </c>
      <c r="F8" s="58">
        <v>912000</v>
      </c>
    </row>
    <row r="9" spans="2:11">
      <c r="B9" s="133" t="s">
        <v>14</v>
      </c>
      <c r="C9" s="59" t="s">
        <v>10</v>
      </c>
      <c r="D9" s="60">
        <v>0.2</v>
      </c>
      <c r="E9" s="61">
        <v>2920000</v>
      </c>
      <c r="F9" s="61">
        <v>973333.33333333337</v>
      </c>
    </row>
    <row r="10" spans="2:11">
      <c r="B10" s="131"/>
      <c r="C10" s="53" t="s">
        <v>11</v>
      </c>
      <c r="D10" s="54">
        <v>0.25</v>
      </c>
      <c r="E10" s="55">
        <v>3650000</v>
      </c>
      <c r="F10" s="55">
        <v>1216666.6666666667</v>
      </c>
    </row>
    <row r="11" spans="2:11">
      <c r="B11" s="131"/>
      <c r="C11" s="53" t="s">
        <v>12</v>
      </c>
      <c r="D11" s="54">
        <v>0.28000000000000003</v>
      </c>
      <c r="E11" s="55">
        <v>4088000.0000000005</v>
      </c>
      <c r="F11" s="55">
        <v>1362666.6666666667</v>
      </c>
    </row>
    <row r="12" spans="2:11">
      <c r="B12" s="132"/>
      <c r="C12" s="56" t="s">
        <v>13</v>
      </c>
      <c r="D12" s="57">
        <v>0.27</v>
      </c>
      <c r="E12" s="58">
        <v>3942000.0000000005</v>
      </c>
      <c r="F12" s="58">
        <v>1314000.0000000002</v>
      </c>
    </row>
    <row r="13" spans="2:11" ht="9.75" customHeight="1"/>
    <row r="14" spans="2:11" ht="9.75" customHeight="1"/>
  </sheetData>
  <mergeCells count="4">
    <mergeCell ref="C2:E2"/>
    <mergeCell ref="B3:F3"/>
    <mergeCell ref="B5:B8"/>
    <mergeCell ref="B9:B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9F02-F78F-4D16-BF60-ADA4B433C8DE}">
  <sheetPr>
    <pageSetUpPr fitToPage="1"/>
  </sheetPr>
  <dimension ref="B1:AF41"/>
  <sheetViews>
    <sheetView showGridLines="0" zoomScale="87" zoomScaleNormal="87" workbookViewId="0">
      <pane xSplit="7" ySplit="9" topLeftCell="K10" activePane="bottomRight" state="frozen"/>
      <selection pane="bottomRight" activeCell="W36" sqref="W36"/>
      <selection pane="bottomLeft"/>
      <selection pane="topRight"/>
    </sheetView>
  </sheetViews>
  <sheetFormatPr defaultColWidth="15.5703125" defaultRowHeight="14.25" customHeight="1"/>
  <cols>
    <col min="1" max="1" width="1.140625" style="3" customWidth="1"/>
    <col min="2" max="2" width="10.5703125" style="3" customWidth="1"/>
    <col min="3" max="3" width="10.5703125" style="3" hidden="1" customWidth="1"/>
    <col min="4" max="6" width="11.85546875" style="3" hidden="1" customWidth="1"/>
    <col min="7" max="7" width="16.5703125" style="3" customWidth="1"/>
    <col min="8" max="9" width="15.5703125" style="3" customWidth="1"/>
    <col min="10" max="17" width="16.5703125" style="3" customWidth="1"/>
    <col min="18" max="18" width="16.5703125" style="3" hidden="1" customWidth="1"/>
    <col min="19" max="21" width="15.85546875" style="1" customWidth="1"/>
    <col min="22" max="22" width="15.85546875" style="3" customWidth="1"/>
    <col min="23" max="23" width="16.85546875" style="8" bestFit="1" customWidth="1"/>
    <col min="24" max="24" width="1.140625" style="3" customWidth="1"/>
    <col min="25" max="25" width="15.5703125" style="79"/>
    <col min="26" max="16384" width="15.5703125" style="3"/>
  </cols>
  <sheetData>
    <row r="1" spans="2:32" ht="6.95" customHeight="1"/>
    <row r="2" spans="2:32" s="1" customFormat="1" ht="26.25" customHeight="1">
      <c r="B2" s="100" t="s">
        <v>15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2"/>
      <c r="Y2" s="80"/>
    </row>
    <row r="3" spans="2:32" s="1" customFormat="1" ht="26.25" customHeight="1">
      <c r="B3" s="103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5"/>
      <c r="Y3" s="80"/>
    </row>
    <row r="4" spans="2:32" s="1" customFormat="1" ht="26.25" customHeight="1">
      <c r="B4" s="14"/>
      <c r="C4" s="82"/>
      <c r="D4" s="82"/>
      <c r="E4" s="82"/>
      <c r="F4" s="82"/>
      <c r="G4" s="83" t="s">
        <v>17</v>
      </c>
      <c r="H4" s="19">
        <v>600000</v>
      </c>
      <c r="L4" s="84"/>
      <c r="M4" s="84"/>
      <c r="N4" s="84"/>
      <c r="O4" s="84"/>
      <c r="P4" s="84"/>
      <c r="Q4" s="84"/>
      <c r="R4" s="84"/>
      <c r="V4" s="84" t="s">
        <v>18</v>
      </c>
      <c r="W4" s="45">
        <v>20</v>
      </c>
      <c r="Y4" s="80"/>
      <c r="AA4" s="10"/>
      <c r="AB4" s="11"/>
      <c r="AC4" s="12"/>
      <c r="AD4" s="13"/>
      <c r="AE4" s="12"/>
      <c r="AF4" s="13"/>
    </row>
    <row r="5" spans="2:32" s="7" customFormat="1" ht="26.25" customHeight="1">
      <c r="B5" s="21"/>
      <c r="C5" s="22"/>
      <c r="D5" s="22"/>
      <c r="E5" s="22"/>
      <c r="F5" s="22"/>
      <c r="G5" s="23" t="s">
        <v>19</v>
      </c>
      <c r="H5" s="24">
        <f>IF(H4="","",H4/W4)</f>
        <v>30000</v>
      </c>
      <c r="I5" s="22"/>
      <c r="J5" s="22"/>
      <c r="K5" s="22"/>
      <c r="L5" s="25"/>
      <c r="M5" s="25"/>
      <c r="N5" s="25"/>
      <c r="O5" s="25"/>
      <c r="P5" s="25"/>
      <c r="Q5" s="25"/>
      <c r="R5" s="25"/>
      <c r="S5" s="22"/>
      <c r="T5" s="22"/>
      <c r="U5" s="22"/>
      <c r="V5" s="25" t="s">
        <v>20</v>
      </c>
      <c r="W5" s="46">
        <f>$B$10</f>
        <v>46054</v>
      </c>
      <c r="Y5" s="81"/>
    </row>
    <row r="6" spans="2:32" s="1" customFormat="1" ht="33.75" customHeight="1">
      <c r="B6" s="106" t="s">
        <v>21</v>
      </c>
      <c r="C6" s="108" t="s">
        <v>22</v>
      </c>
      <c r="D6" s="20" t="s">
        <v>22</v>
      </c>
      <c r="E6" s="20" t="s">
        <v>23</v>
      </c>
      <c r="F6" s="20" t="s">
        <v>24</v>
      </c>
      <c r="G6" s="108" t="s">
        <v>25</v>
      </c>
      <c r="H6" s="110" t="s">
        <v>4</v>
      </c>
      <c r="I6" s="110"/>
      <c r="J6" s="111"/>
      <c r="K6" s="112" t="s">
        <v>26</v>
      </c>
      <c r="L6" s="113"/>
      <c r="M6" s="113"/>
      <c r="N6" s="113"/>
      <c r="O6" s="113"/>
      <c r="P6" s="113"/>
      <c r="Q6" s="113"/>
      <c r="R6" s="113"/>
      <c r="S6" s="113"/>
      <c r="T6" s="113"/>
      <c r="U6" s="114"/>
      <c r="V6" s="108" t="s">
        <v>27</v>
      </c>
      <c r="W6" s="115" t="s">
        <v>28</v>
      </c>
      <c r="Y6" s="80" t="s">
        <v>29</v>
      </c>
    </row>
    <row r="7" spans="2:32" s="1" customFormat="1" ht="17.25" customHeight="1">
      <c r="B7" s="106"/>
      <c r="C7" s="108"/>
      <c r="D7" s="9"/>
      <c r="E7" s="9"/>
      <c r="F7" s="9"/>
      <c r="G7" s="108"/>
      <c r="H7" s="117" t="s">
        <v>30</v>
      </c>
      <c r="I7" s="119" t="s">
        <v>31</v>
      </c>
      <c r="J7" s="98" t="s">
        <v>32</v>
      </c>
      <c r="K7" s="121" t="s">
        <v>33</v>
      </c>
      <c r="L7" s="35" t="s">
        <v>9</v>
      </c>
      <c r="M7" s="35" t="s">
        <v>34</v>
      </c>
      <c r="N7" s="35" t="s">
        <v>35</v>
      </c>
      <c r="O7" s="35" t="s">
        <v>36</v>
      </c>
      <c r="P7" s="35" t="s">
        <v>37</v>
      </c>
      <c r="Q7" s="35" t="s">
        <v>38</v>
      </c>
      <c r="R7" s="35"/>
      <c r="S7" s="122" t="s">
        <v>39</v>
      </c>
      <c r="T7" s="125" t="s">
        <v>40</v>
      </c>
      <c r="U7" s="97" t="s">
        <v>32</v>
      </c>
      <c r="V7" s="108"/>
      <c r="W7" s="115"/>
      <c r="Y7" s="80"/>
    </row>
    <row r="8" spans="2:32" s="1" customFormat="1" ht="17.25" customHeight="1">
      <c r="B8" s="106"/>
      <c r="C8" s="108"/>
      <c r="D8" s="20"/>
      <c r="E8" s="20"/>
      <c r="F8" s="20"/>
      <c r="G8" s="108"/>
      <c r="H8" s="117"/>
      <c r="I8" s="119"/>
      <c r="J8" s="98"/>
      <c r="K8" s="119"/>
      <c r="L8" s="63">
        <v>120000</v>
      </c>
      <c r="M8" s="63">
        <v>320000</v>
      </c>
      <c r="N8" s="63">
        <v>25000</v>
      </c>
      <c r="O8" s="63">
        <v>20000</v>
      </c>
      <c r="P8" s="63">
        <v>100000</v>
      </c>
      <c r="Q8" s="63">
        <v>15000</v>
      </c>
      <c r="R8" s="36"/>
      <c r="S8" s="123"/>
      <c r="T8" s="117"/>
      <c r="U8" s="98"/>
      <c r="V8" s="108"/>
      <c r="W8" s="115"/>
      <c r="Y8" s="80"/>
    </row>
    <row r="9" spans="2:32" s="1" customFormat="1" ht="17.25" customHeight="1">
      <c r="B9" s="107"/>
      <c r="C9" s="109"/>
      <c r="D9" s="20"/>
      <c r="E9" s="20"/>
      <c r="F9" s="20"/>
      <c r="G9" s="109"/>
      <c r="H9" s="118"/>
      <c r="I9" s="120"/>
      <c r="J9" s="99"/>
      <c r="K9" s="120"/>
      <c r="L9" s="38">
        <f>IF(L8="","",SUM(L10:L40)/L8)</f>
        <v>1.116846</v>
      </c>
      <c r="M9" s="38">
        <f>IF(M8="","",SUM(M10:M40)/M8)</f>
        <v>0.72708600000000001</v>
      </c>
      <c r="N9" s="38">
        <f>IF(N8="","",SUM(N10:N40)/N8)</f>
        <v>0.63601600000000003</v>
      </c>
      <c r="O9" s="38">
        <f>IF(O8="","",SUM(O10:O40)/O8)</f>
        <v>1.3550695000000001</v>
      </c>
      <c r="P9" s="38">
        <f t="shared" ref="P9" si="0">IF(P8="","",SUM(P10:P40)/P8)</f>
        <v>6.9271200000000005E-2</v>
      </c>
      <c r="Q9" s="38">
        <f t="shared" ref="Q9:R9" si="1">IF(Q8="","",SUM(Q10:Q40)/Q8)</f>
        <v>0.65647199999999994</v>
      </c>
      <c r="R9" s="38" t="str">
        <f t="shared" si="1"/>
        <v/>
      </c>
      <c r="S9" s="124"/>
      <c r="T9" s="118"/>
      <c r="U9" s="99"/>
      <c r="V9" s="109"/>
      <c r="W9" s="116"/>
      <c r="Y9" s="80"/>
    </row>
    <row r="10" spans="2:32" ht="20.25" customHeight="1">
      <c r="B10" s="64">
        <v>46054</v>
      </c>
      <c r="C10" s="5" t="str">
        <f>TEXT(B10,"ddd")</f>
        <v>dom</v>
      </c>
      <c r="D10" s="5" cm="1">
        <f t="array" ref="D10:D39">WEEKDAY($B$10:$B$39,2)</f>
        <v>7</v>
      </c>
      <c r="E10" s="5">
        <f>IF(D10&gt;5,0,1)</f>
        <v>0</v>
      </c>
      <c r="F10" s="2">
        <f>E10</f>
        <v>0</v>
      </c>
      <c r="G10" s="26">
        <f t="shared" ref="G10:G39" si="2">IF(F11&lt;1,"",$H$5*F10)</f>
        <v>0</v>
      </c>
      <c r="H10" s="65"/>
      <c r="I10" s="39">
        <f>IF(SUM(H10)="","",SUM(H10))</f>
        <v>0</v>
      </c>
      <c r="J10" s="34" t="str">
        <f t="shared" ref="J10:J40" si="3">IF(I10=0,"",(I10/G10))</f>
        <v/>
      </c>
      <c r="K10" s="66"/>
      <c r="L10" s="65"/>
      <c r="M10" s="65"/>
      <c r="N10" s="65"/>
      <c r="O10" s="65"/>
      <c r="P10" s="65"/>
      <c r="Q10" s="65"/>
      <c r="R10" s="40"/>
      <c r="S10" s="33">
        <f t="shared" ref="S10:S40" si="4">IF(SUM(L10:R10)=0,0,SUM(L10:R10))</f>
        <v>0</v>
      </c>
      <c r="T10" s="39">
        <f>IF(SUM(S10)="","",SUM(S10))</f>
        <v>0</v>
      </c>
      <c r="U10" s="62" t="str">
        <f>IF(T10=0,"",(T10/G10))</f>
        <v/>
      </c>
      <c r="V10" s="75" t="str">
        <f t="shared" ref="V10:V40" si="5">IF(K10="","",S10/K10)</f>
        <v/>
      </c>
      <c r="W10" s="74">
        <v>16543.849999999999</v>
      </c>
    </row>
    <row r="11" spans="2:32" ht="20.25" customHeight="1">
      <c r="B11" s="15">
        <f>B10+1</f>
        <v>46055</v>
      </c>
      <c r="C11" s="6" t="str">
        <f t="shared" ref="C11:C39" si="6">TEXT(B11,"ddd")</f>
        <v>seg</v>
      </c>
      <c r="D11" s="6">
        <v>1</v>
      </c>
      <c r="E11" s="6">
        <f t="shared" ref="E11:E40" si="7">IF(D11&gt;5,0,1)</f>
        <v>1</v>
      </c>
      <c r="F11" s="4">
        <f>E11+F10</f>
        <v>1</v>
      </c>
      <c r="G11" s="27">
        <f t="shared" si="2"/>
        <v>30000</v>
      </c>
      <c r="H11" s="65">
        <v>8614.41</v>
      </c>
      <c r="I11" s="39">
        <f t="shared" ref="I11:I40" si="8">IF(SUM(H11,I10)="","",SUM(H11,I10))</f>
        <v>8614.41</v>
      </c>
      <c r="J11" s="29">
        <f t="shared" si="3"/>
        <v>0.28714699999999999</v>
      </c>
      <c r="K11" s="68">
        <v>4</v>
      </c>
      <c r="L11" s="69">
        <v>0</v>
      </c>
      <c r="M11" s="69">
        <v>2926.57</v>
      </c>
      <c r="N11" s="69">
        <v>0</v>
      </c>
      <c r="O11" s="69">
        <v>0</v>
      </c>
      <c r="P11" s="69">
        <v>0</v>
      </c>
      <c r="Q11" s="69">
        <v>0</v>
      </c>
      <c r="R11" s="41"/>
      <c r="S11" s="33">
        <f t="shared" si="4"/>
        <v>2926.57</v>
      </c>
      <c r="T11" s="39">
        <f>IF(SUM(S11,T10)="","",SUM(S11,T10))</f>
        <v>2926.57</v>
      </c>
      <c r="U11" s="34">
        <f t="shared" ref="U11:U40" si="9">IF(T11=0,"",T11/G11)</f>
        <v>9.7552333333333338E-2</v>
      </c>
      <c r="V11" s="76">
        <f t="shared" si="5"/>
        <v>731.64250000000004</v>
      </c>
      <c r="W11" s="31">
        <f t="shared" ref="W11:W40" si="10">IF(H11="",0,W10+S11-H11+Y11)</f>
        <v>10856.009999999998</v>
      </c>
    </row>
    <row r="12" spans="2:32" ht="20.25" customHeight="1">
      <c r="B12" s="15">
        <f t="shared" ref="B12:B39" si="11">B11+1</f>
        <v>46056</v>
      </c>
      <c r="C12" s="6" t="str">
        <f>TEXT(B12,"ddd")</f>
        <v>ter</v>
      </c>
      <c r="D12" s="6">
        <v>2</v>
      </c>
      <c r="E12" s="6">
        <f>IF(D12&gt;5,0,1)</f>
        <v>1</v>
      </c>
      <c r="F12" s="4">
        <f t="shared" ref="F12:F13" si="12">E12+F11</f>
        <v>2</v>
      </c>
      <c r="G12" s="27">
        <f t="shared" si="2"/>
        <v>60000</v>
      </c>
      <c r="H12" s="65">
        <v>705.18</v>
      </c>
      <c r="I12" s="39">
        <f t="shared" si="8"/>
        <v>9319.59</v>
      </c>
      <c r="J12" s="29">
        <f t="shared" si="3"/>
        <v>0.15532650000000001</v>
      </c>
      <c r="K12" s="68">
        <v>3</v>
      </c>
      <c r="L12" s="69">
        <v>0</v>
      </c>
      <c r="M12" s="69">
        <v>795.39</v>
      </c>
      <c r="N12" s="69">
        <v>0</v>
      </c>
      <c r="O12" s="69">
        <v>2811.4</v>
      </c>
      <c r="P12" s="69">
        <v>0</v>
      </c>
      <c r="Q12" s="69">
        <v>0</v>
      </c>
      <c r="R12" s="41"/>
      <c r="S12" s="33">
        <f>IF(SUM(L12:R12)=0,0,SUM(L12:R12))</f>
        <v>3606.79</v>
      </c>
      <c r="T12" s="39">
        <f t="shared" ref="T12:T40" si="13">IF(SUM(S12,T11)="","",SUM(S12,T11))</f>
        <v>6533.3600000000006</v>
      </c>
      <c r="U12" s="34">
        <f t="shared" si="9"/>
        <v>0.10888933333333334</v>
      </c>
      <c r="V12" s="76">
        <f t="shared" si="5"/>
        <v>1202.2633333333333</v>
      </c>
      <c r="W12" s="31">
        <f t="shared" si="10"/>
        <v>13757.619999999999</v>
      </c>
    </row>
    <row r="13" spans="2:32" ht="20.25" customHeight="1">
      <c r="B13" s="15">
        <f t="shared" si="11"/>
        <v>46057</v>
      </c>
      <c r="C13" s="6" t="str">
        <f t="shared" si="6"/>
        <v>qua</v>
      </c>
      <c r="D13" s="6">
        <v>3</v>
      </c>
      <c r="E13" s="6">
        <f>IF(D13&gt;5,0,1)</f>
        <v>1</v>
      </c>
      <c r="F13" s="4">
        <f t="shared" si="12"/>
        <v>3</v>
      </c>
      <c r="G13" s="27">
        <f t="shared" si="2"/>
        <v>90000</v>
      </c>
      <c r="H13" s="65">
        <v>711.06</v>
      </c>
      <c r="I13" s="39">
        <f t="shared" si="8"/>
        <v>10030.65</v>
      </c>
      <c r="J13" s="29">
        <f t="shared" si="3"/>
        <v>0.11145166666666666</v>
      </c>
      <c r="K13" s="68">
        <v>5</v>
      </c>
      <c r="L13" s="69">
        <v>2050.87</v>
      </c>
      <c r="M13" s="69">
        <v>6632.06</v>
      </c>
      <c r="N13" s="69">
        <v>0</v>
      </c>
      <c r="O13" s="69">
        <v>0</v>
      </c>
      <c r="P13" s="69">
        <v>0</v>
      </c>
      <c r="Q13" s="69">
        <v>0</v>
      </c>
      <c r="R13" s="41"/>
      <c r="S13" s="33">
        <f t="shared" si="4"/>
        <v>8682.93</v>
      </c>
      <c r="T13" s="39">
        <f t="shared" si="13"/>
        <v>15216.29</v>
      </c>
      <c r="U13" s="34">
        <f t="shared" si="9"/>
        <v>0.16906988888888891</v>
      </c>
      <c r="V13" s="76">
        <f t="shared" si="5"/>
        <v>1736.586</v>
      </c>
      <c r="W13" s="31">
        <f t="shared" si="10"/>
        <v>21729.489999999998</v>
      </c>
    </row>
    <row r="14" spans="2:32" ht="20.25" customHeight="1">
      <c r="B14" s="15">
        <f t="shared" si="11"/>
        <v>46058</v>
      </c>
      <c r="C14" s="6" t="str">
        <f t="shared" si="6"/>
        <v>qui</v>
      </c>
      <c r="D14" s="6">
        <v>4</v>
      </c>
      <c r="E14" s="6">
        <f>IF(D14&gt;5,0,1)</f>
        <v>1</v>
      </c>
      <c r="F14" s="4">
        <f>F13+E14</f>
        <v>4</v>
      </c>
      <c r="G14" s="27">
        <f t="shared" si="2"/>
        <v>120000</v>
      </c>
      <c r="H14" s="65">
        <v>458.25</v>
      </c>
      <c r="I14" s="39">
        <f t="shared" si="8"/>
        <v>10488.9</v>
      </c>
      <c r="J14" s="29">
        <f t="shared" si="3"/>
        <v>8.7407499999999999E-2</v>
      </c>
      <c r="K14" s="68">
        <v>9</v>
      </c>
      <c r="L14" s="69">
        <v>0</v>
      </c>
      <c r="M14" s="69">
        <v>19035.96</v>
      </c>
      <c r="N14" s="69">
        <v>575.96</v>
      </c>
      <c r="O14" s="69">
        <v>0</v>
      </c>
      <c r="P14" s="69">
        <v>0</v>
      </c>
      <c r="Q14" s="69">
        <v>0</v>
      </c>
      <c r="R14" s="41"/>
      <c r="S14" s="33">
        <f t="shared" si="4"/>
        <v>19611.919999999998</v>
      </c>
      <c r="T14" s="39">
        <f t="shared" si="13"/>
        <v>34828.21</v>
      </c>
      <c r="U14" s="34">
        <f t="shared" si="9"/>
        <v>0.29023508333333331</v>
      </c>
      <c r="V14" s="76">
        <f t="shared" si="5"/>
        <v>2179.1022222222218</v>
      </c>
      <c r="W14" s="31">
        <f t="shared" si="10"/>
        <v>40883.159999999996</v>
      </c>
    </row>
    <row r="15" spans="2:32" ht="20.25" customHeight="1">
      <c r="B15" s="15">
        <f t="shared" si="11"/>
        <v>46059</v>
      </c>
      <c r="C15" s="6" t="str">
        <f t="shared" si="6"/>
        <v>sex</v>
      </c>
      <c r="D15" s="6">
        <v>5</v>
      </c>
      <c r="E15" s="6">
        <f t="shared" si="7"/>
        <v>1</v>
      </c>
      <c r="F15" s="4">
        <f>F14+E15</f>
        <v>5</v>
      </c>
      <c r="G15" s="27">
        <f t="shared" si="2"/>
        <v>150000</v>
      </c>
      <c r="H15" s="65">
        <v>3996.08</v>
      </c>
      <c r="I15" s="39">
        <f t="shared" si="8"/>
        <v>14484.98</v>
      </c>
      <c r="J15" s="29">
        <f t="shared" si="3"/>
        <v>9.6566533333333329E-2</v>
      </c>
      <c r="K15" s="68">
        <v>4</v>
      </c>
      <c r="L15" s="69">
        <v>0</v>
      </c>
      <c r="M15" s="69">
        <v>1867.32</v>
      </c>
      <c r="N15" s="69">
        <v>0</v>
      </c>
      <c r="O15" s="69">
        <v>1999.75</v>
      </c>
      <c r="P15" s="69">
        <v>6927.12</v>
      </c>
      <c r="Q15" s="69">
        <v>0</v>
      </c>
      <c r="R15" s="41"/>
      <c r="S15" s="33">
        <f>IF(SUM(L15:R15)=0,0,SUM(L15:R15))</f>
        <v>10794.189999999999</v>
      </c>
      <c r="T15" s="39">
        <f t="shared" si="13"/>
        <v>45622.399999999994</v>
      </c>
      <c r="U15" s="34">
        <f t="shared" si="9"/>
        <v>0.30414933333333327</v>
      </c>
      <c r="V15" s="76">
        <f t="shared" si="5"/>
        <v>2698.5474999999997</v>
      </c>
      <c r="W15" s="31">
        <f>IF(H15="",0,W14+S15-H15+Y15)</f>
        <v>47681.26999999999</v>
      </c>
    </row>
    <row r="16" spans="2:32" ht="20.25" customHeight="1">
      <c r="B16" s="15">
        <f t="shared" si="11"/>
        <v>46060</v>
      </c>
      <c r="C16" s="6" t="str">
        <f t="shared" si="6"/>
        <v>sáb</v>
      </c>
      <c r="D16" s="6">
        <v>6</v>
      </c>
      <c r="E16" s="6">
        <f t="shared" si="7"/>
        <v>0</v>
      </c>
      <c r="F16" s="4">
        <f t="shared" ref="F16:F20" si="14">F15+E16</f>
        <v>5</v>
      </c>
      <c r="G16" s="27">
        <f t="shared" si="2"/>
        <v>150000</v>
      </c>
      <c r="H16" s="65"/>
      <c r="I16" s="39">
        <f t="shared" si="8"/>
        <v>14484.98</v>
      </c>
      <c r="J16" s="29">
        <f t="shared" si="3"/>
        <v>9.6566533333333329E-2</v>
      </c>
      <c r="K16" s="68"/>
      <c r="L16" s="69"/>
      <c r="M16" s="69"/>
      <c r="N16" s="69"/>
      <c r="O16" s="69"/>
      <c r="P16" s="69"/>
      <c r="Q16" s="69"/>
      <c r="R16" s="41"/>
      <c r="S16" s="33">
        <f t="shared" si="4"/>
        <v>0</v>
      </c>
      <c r="T16" s="39">
        <f t="shared" si="13"/>
        <v>45622.399999999994</v>
      </c>
      <c r="U16" s="34">
        <f t="shared" si="9"/>
        <v>0.30414933333333327</v>
      </c>
      <c r="V16" s="76" t="str">
        <f t="shared" si="5"/>
        <v/>
      </c>
      <c r="W16" s="31">
        <f>IF(H16="",0,W15+S16-H16+Y16)</f>
        <v>0</v>
      </c>
    </row>
    <row r="17" spans="2:25" ht="20.25" customHeight="1">
      <c r="B17" s="15">
        <f t="shared" si="11"/>
        <v>46061</v>
      </c>
      <c r="C17" s="6" t="str">
        <f t="shared" si="6"/>
        <v>dom</v>
      </c>
      <c r="D17" s="6">
        <v>7</v>
      </c>
      <c r="E17" s="6">
        <f t="shared" si="7"/>
        <v>0</v>
      </c>
      <c r="F17" s="4">
        <f t="shared" si="14"/>
        <v>5</v>
      </c>
      <c r="G17" s="27">
        <f t="shared" si="2"/>
        <v>150000</v>
      </c>
      <c r="H17" s="65"/>
      <c r="I17" s="39">
        <f t="shared" si="8"/>
        <v>14484.98</v>
      </c>
      <c r="J17" s="29">
        <f t="shared" si="3"/>
        <v>9.6566533333333329E-2</v>
      </c>
      <c r="K17" s="68"/>
      <c r="L17" s="69"/>
      <c r="M17" s="69"/>
      <c r="N17" s="69"/>
      <c r="O17" s="69"/>
      <c r="P17" s="69"/>
      <c r="Q17" s="69"/>
      <c r="R17" s="41"/>
      <c r="S17" s="33">
        <f t="shared" si="4"/>
        <v>0</v>
      </c>
      <c r="T17" s="39">
        <f t="shared" si="13"/>
        <v>45622.399999999994</v>
      </c>
      <c r="U17" s="34">
        <f t="shared" si="9"/>
        <v>0.30414933333333327</v>
      </c>
      <c r="V17" s="76" t="str">
        <f t="shared" si="5"/>
        <v/>
      </c>
      <c r="W17" s="31">
        <f t="shared" si="10"/>
        <v>0</v>
      </c>
    </row>
    <row r="18" spans="2:25" ht="20.25" customHeight="1">
      <c r="B18" s="15">
        <f t="shared" si="11"/>
        <v>46062</v>
      </c>
      <c r="C18" s="6" t="str">
        <f t="shared" si="6"/>
        <v>seg</v>
      </c>
      <c r="D18" s="6">
        <v>1</v>
      </c>
      <c r="E18" s="6">
        <f t="shared" si="7"/>
        <v>1</v>
      </c>
      <c r="F18" s="4">
        <f t="shared" si="14"/>
        <v>6</v>
      </c>
      <c r="G18" s="27">
        <f t="shared" si="2"/>
        <v>180000</v>
      </c>
      <c r="H18" s="65">
        <v>22287.63</v>
      </c>
      <c r="I18" s="39">
        <f t="shared" si="8"/>
        <v>36772.61</v>
      </c>
      <c r="J18" s="29">
        <f t="shared" si="3"/>
        <v>0.20429227777777778</v>
      </c>
      <c r="K18" s="68">
        <v>15</v>
      </c>
      <c r="L18" s="69">
        <v>24641.05</v>
      </c>
      <c r="M18" s="69">
        <v>34556.76</v>
      </c>
      <c r="N18" s="69">
        <v>1049.8499999999999</v>
      </c>
      <c r="O18" s="69">
        <v>0</v>
      </c>
      <c r="P18" s="69">
        <v>0</v>
      </c>
      <c r="Q18" s="69">
        <v>0</v>
      </c>
      <c r="R18" s="41"/>
      <c r="S18" s="33">
        <f t="shared" si="4"/>
        <v>60247.659999999996</v>
      </c>
      <c r="T18" s="39">
        <f t="shared" si="13"/>
        <v>105870.06</v>
      </c>
      <c r="U18" s="34">
        <f t="shared" si="9"/>
        <v>0.588167</v>
      </c>
      <c r="V18" s="76">
        <f t="shared" si="5"/>
        <v>4016.5106666666666</v>
      </c>
      <c r="W18" s="31">
        <f t="shared" si="10"/>
        <v>37960.03</v>
      </c>
    </row>
    <row r="19" spans="2:25" ht="20.25" customHeight="1">
      <c r="B19" s="15">
        <f t="shared" si="11"/>
        <v>46063</v>
      </c>
      <c r="C19" s="6" t="str">
        <f t="shared" si="6"/>
        <v>ter</v>
      </c>
      <c r="D19" s="6">
        <v>2</v>
      </c>
      <c r="E19" s="6">
        <f t="shared" si="7"/>
        <v>1</v>
      </c>
      <c r="F19" s="4">
        <f t="shared" si="14"/>
        <v>7</v>
      </c>
      <c r="G19" s="27">
        <f t="shared" si="2"/>
        <v>210000</v>
      </c>
      <c r="H19" s="65">
        <v>24991.27</v>
      </c>
      <c r="I19" s="39">
        <f t="shared" si="8"/>
        <v>61763.880000000005</v>
      </c>
      <c r="J19" s="29">
        <f t="shared" si="3"/>
        <v>0.29411371428571431</v>
      </c>
      <c r="K19" s="68">
        <v>10</v>
      </c>
      <c r="L19" s="69">
        <v>575.46</v>
      </c>
      <c r="M19" s="69">
        <v>9525</v>
      </c>
      <c r="N19" s="69">
        <v>2002.49</v>
      </c>
      <c r="O19" s="69">
        <v>0</v>
      </c>
      <c r="P19" s="69">
        <v>0</v>
      </c>
      <c r="Q19" s="69">
        <v>0</v>
      </c>
      <c r="R19" s="41"/>
      <c r="S19" s="33">
        <f t="shared" si="4"/>
        <v>12102.949999999999</v>
      </c>
      <c r="T19" s="39">
        <f t="shared" si="13"/>
        <v>117973.01</v>
      </c>
      <c r="U19" s="34">
        <f t="shared" si="9"/>
        <v>0.56177623809523802</v>
      </c>
      <c r="V19" s="76">
        <f t="shared" si="5"/>
        <v>1210.2949999999998</v>
      </c>
      <c r="W19" s="31">
        <f t="shared" si="10"/>
        <v>25071.709999999995</v>
      </c>
    </row>
    <row r="20" spans="2:25" ht="20.25" customHeight="1">
      <c r="B20" s="15">
        <f t="shared" si="11"/>
        <v>46064</v>
      </c>
      <c r="C20" s="6" t="str">
        <f t="shared" si="6"/>
        <v>qua</v>
      </c>
      <c r="D20" s="6">
        <v>3</v>
      </c>
      <c r="E20" s="6">
        <f t="shared" si="7"/>
        <v>1</v>
      </c>
      <c r="F20" s="4">
        <f t="shared" si="14"/>
        <v>8</v>
      </c>
      <c r="G20" s="27">
        <f t="shared" si="2"/>
        <v>240000</v>
      </c>
      <c r="H20" s="65">
        <v>29996.46</v>
      </c>
      <c r="I20" s="39">
        <f t="shared" si="8"/>
        <v>91760.34</v>
      </c>
      <c r="J20" s="29">
        <f t="shared" si="3"/>
        <v>0.38233475</v>
      </c>
      <c r="K20" s="70">
        <v>13</v>
      </c>
      <c r="L20" s="71">
        <v>9622.33</v>
      </c>
      <c r="M20" s="71">
        <v>23627.83</v>
      </c>
      <c r="N20" s="71">
        <v>0</v>
      </c>
      <c r="O20" s="71">
        <v>0</v>
      </c>
      <c r="P20" s="71">
        <v>0</v>
      </c>
      <c r="Q20" s="71">
        <v>0</v>
      </c>
      <c r="R20" s="42"/>
      <c r="S20" s="33">
        <f t="shared" si="4"/>
        <v>33250.160000000003</v>
      </c>
      <c r="T20" s="39">
        <f t="shared" si="13"/>
        <v>151223.16999999998</v>
      </c>
      <c r="U20" s="34">
        <f t="shared" si="9"/>
        <v>0.63009654166666662</v>
      </c>
      <c r="V20" s="76">
        <f t="shared" si="5"/>
        <v>2557.7046153846159</v>
      </c>
      <c r="W20" s="31">
        <f t="shared" si="10"/>
        <v>28325.409999999996</v>
      </c>
    </row>
    <row r="21" spans="2:25" ht="20.25" customHeight="1">
      <c r="B21" s="15">
        <f t="shared" si="11"/>
        <v>46065</v>
      </c>
      <c r="C21" s="6" t="str">
        <f t="shared" si="6"/>
        <v>qui</v>
      </c>
      <c r="D21" s="6">
        <v>4</v>
      </c>
      <c r="E21" s="6">
        <f t="shared" si="7"/>
        <v>1</v>
      </c>
      <c r="F21" s="4">
        <f t="shared" ref="F21:F39" si="15">E21+F20</f>
        <v>9</v>
      </c>
      <c r="G21" s="27">
        <f t="shared" si="2"/>
        <v>270000</v>
      </c>
      <c r="H21" s="65">
        <v>51913.75</v>
      </c>
      <c r="I21" s="39">
        <f t="shared" si="8"/>
        <v>143674.09</v>
      </c>
      <c r="J21" s="29">
        <f t="shared" si="3"/>
        <v>0.53212625925925927</v>
      </c>
      <c r="K21" s="70">
        <v>11</v>
      </c>
      <c r="L21" s="71">
        <v>29676.720000000001</v>
      </c>
      <c r="M21" s="71">
        <v>4759.3999999999996</v>
      </c>
      <c r="N21" s="71">
        <v>575.96</v>
      </c>
      <c r="O21" s="71">
        <v>0</v>
      </c>
      <c r="P21" s="71">
        <v>0</v>
      </c>
      <c r="Q21" s="71">
        <v>0</v>
      </c>
      <c r="R21" s="42"/>
      <c r="S21" s="33">
        <f t="shared" si="4"/>
        <v>35012.080000000002</v>
      </c>
      <c r="T21" s="39">
        <f t="shared" si="13"/>
        <v>186235.25</v>
      </c>
      <c r="U21" s="34">
        <f t="shared" si="9"/>
        <v>0.68976018518518523</v>
      </c>
      <c r="V21" s="76">
        <f t="shared" si="5"/>
        <v>3182.9163636363637</v>
      </c>
      <c r="W21" s="31">
        <f t="shared" si="10"/>
        <v>11423.739999999998</v>
      </c>
    </row>
    <row r="22" spans="2:25" ht="20.25" customHeight="1">
      <c r="B22" s="15">
        <f t="shared" si="11"/>
        <v>46066</v>
      </c>
      <c r="C22" s="6" t="str">
        <f t="shared" si="6"/>
        <v>sex</v>
      </c>
      <c r="D22" s="6">
        <v>5</v>
      </c>
      <c r="E22" s="6">
        <f t="shared" si="7"/>
        <v>1</v>
      </c>
      <c r="F22" s="4">
        <f t="shared" si="15"/>
        <v>10</v>
      </c>
      <c r="G22" s="27">
        <f t="shared" si="2"/>
        <v>300000</v>
      </c>
      <c r="H22" s="65">
        <v>12999.84</v>
      </c>
      <c r="I22" s="39">
        <f t="shared" si="8"/>
        <v>156673.93</v>
      </c>
      <c r="J22" s="29">
        <f t="shared" si="3"/>
        <v>0.52224643333333332</v>
      </c>
      <c r="K22" s="70">
        <v>7</v>
      </c>
      <c r="L22" s="71">
        <v>2816.99</v>
      </c>
      <c r="M22" s="71">
        <v>1480.86</v>
      </c>
      <c r="N22" s="71">
        <v>2738.88</v>
      </c>
      <c r="O22" s="71">
        <v>3122.77</v>
      </c>
      <c r="P22" s="71">
        <v>0</v>
      </c>
      <c r="Q22" s="71">
        <v>0</v>
      </c>
      <c r="R22" s="42"/>
      <c r="S22" s="33">
        <f t="shared" si="4"/>
        <v>10159.5</v>
      </c>
      <c r="T22" s="39">
        <f t="shared" si="13"/>
        <v>196394.75</v>
      </c>
      <c r="U22" s="34">
        <f t="shared" si="9"/>
        <v>0.65464916666666662</v>
      </c>
      <c r="V22" s="76">
        <f t="shared" si="5"/>
        <v>1451.3571428571429</v>
      </c>
      <c r="W22" s="31">
        <f>IF(H22="",0,W21+S22-H22+Y22)</f>
        <v>60385.509999999995</v>
      </c>
      <c r="Y22" s="79">
        <f>43465.3+8336.81</f>
        <v>51802.11</v>
      </c>
    </row>
    <row r="23" spans="2:25" ht="20.25" customHeight="1">
      <c r="B23" s="15">
        <f t="shared" si="11"/>
        <v>46067</v>
      </c>
      <c r="C23" s="6" t="str">
        <f t="shared" si="6"/>
        <v>sáb</v>
      </c>
      <c r="D23" s="6">
        <v>6</v>
      </c>
      <c r="E23" s="6">
        <f t="shared" si="7"/>
        <v>0</v>
      </c>
      <c r="F23" s="4">
        <f t="shared" si="15"/>
        <v>10</v>
      </c>
      <c r="G23" s="27">
        <f t="shared" si="2"/>
        <v>300000</v>
      </c>
      <c r="H23" s="65">
        <v>0</v>
      </c>
      <c r="I23" s="39">
        <f t="shared" si="8"/>
        <v>156673.93</v>
      </c>
      <c r="J23" s="29">
        <f t="shared" si="3"/>
        <v>0.52224643333333332</v>
      </c>
      <c r="K23" s="70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42"/>
      <c r="S23" s="33">
        <f t="shared" si="4"/>
        <v>0</v>
      </c>
      <c r="T23" s="39">
        <f t="shared" si="13"/>
        <v>196394.75</v>
      </c>
      <c r="U23" s="34">
        <f t="shared" si="9"/>
        <v>0.65464916666666662</v>
      </c>
      <c r="V23" s="76" t="e">
        <f t="shared" si="5"/>
        <v>#DIV/0!</v>
      </c>
      <c r="W23" s="31">
        <f t="shared" si="10"/>
        <v>60385.509999999995</v>
      </c>
    </row>
    <row r="24" spans="2:25" ht="20.25" customHeight="1">
      <c r="B24" s="15">
        <f>B23+1</f>
        <v>46068</v>
      </c>
      <c r="C24" s="6" t="str">
        <f t="shared" si="6"/>
        <v>dom</v>
      </c>
      <c r="D24" s="6">
        <v>7</v>
      </c>
      <c r="E24" s="6">
        <f t="shared" si="7"/>
        <v>0</v>
      </c>
      <c r="F24" s="4">
        <f>E24+F23</f>
        <v>10</v>
      </c>
      <c r="G24" s="27">
        <f t="shared" si="2"/>
        <v>300000</v>
      </c>
      <c r="H24" s="65">
        <v>0</v>
      </c>
      <c r="I24" s="39">
        <f t="shared" si="8"/>
        <v>156673.93</v>
      </c>
      <c r="J24" s="29">
        <f t="shared" si="3"/>
        <v>0.52224643333333332</v>
      </c>
      <c r="K24" s="70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42"/>
      <c r="S24" s="33">
        <f t="shared" si="4"/>
        <v>0</v>
      </c>
      <c r="T24" s="39">
        <f t="shared" si="13"/>
        <v>196394.75</v>
      </c>
      <c r="U24" s="34">
        <f t="shared" si="9"/>
        <v>0.65464916666666662</v>
      </c>
      <c r="V24" s="76" t="e">
        <f t="shared" si="5"/>
        <v>#DIV/0!</v>
      </c>
      <c r="W24" s="31">
        <f t="shared" si="10"/>
        <v>60385.509999999995</v>
      </c>
    </row>
    <row r="25" spans="2:25" ht="20.25" customHeight="1">
      <c r="B25" s="15">
        <f>B24+1</f>
        <v>46069</v>
      </c>
      <c r="C25" s="6" t="str">
        <f t="shared" si="6"/>
        <v>seg</v>
      </c>
      <c r="D25" s="6">
        <v>1</v>
      </c>
      <c r="E25" s="6">
        <f t="shared" si="7"/>
        <v>1</v>
      </c>
      <c r="F25" s="4">
        <f>E25+F24</f>
        <v>11</v>
      </c>
      <c r="G25" s="27">
        <f t="shared" si="2"/>
        <v>330000</v>
      </c>
      <c r="H25" s="65">
        <v>0</v>
      </c>
      <c r="I25" s="39">
        <f t="shared" si="8"/>
        <v>156673.93</v>
      </c>
      <c r="J25" s="29">
        <f t="shared" si="3"/>
        <v>0.4747694848484848</v>
      </c>
      <c r="K25" s="70">
        <v>6</v>
      </c>
      <c r="L25" s="71">
        <v>6430.25</v>
      </c>
      <c r="M25" s="71">
        <v>0</v>
      </c>
      <c r="N25" s="71">
        <v>3556.93</v>
      </c>
      <c r="O25" s="71">
        <v>2291</v>
      </c>
      <c r="P25" s="71">
        <v>0</v>
      </c>
      <c r="Q25" s="71">
        <v>0</v>
      </c>
      <c r="R25" s="42"/>
      <c r="S25" s="33">
        <f t="shared" si="4"/>
        <v>12278.18</v>
      </c>
      <c r="T25" s="39">
        <f t="shared" si="13"/>
        <v>208672.93</v>
      </c>
      <c r="U25" s="34">
        <f t="shared" si="9"/>
        <v>0.63234221212121211</v>
      </c>
      <c r="V25" s="76">
        <f t="shared" si="5"/>
        <v>2046.3633333333335</v>
      </c>
      <c r="W25" s="31">
        <f t="shared" si="10"/>
        <v>72663.69</v>
      </c>
    </row>
    <row r="26" spans="2:25" ht="20.25" customHeight="1">
      <c r="B26" s="15">
        <f t="shared" si="11"/>
        <v>46070</v>
      </c>
      <c r="C26" s="6" t="str">
        <f t="shared" si="6"/>
        <v>ter</v>
      </c>
      <c r="D26" s="6">
        <v>2</v>
      </c>
      <c r="E26" s="6">
        <f t="shared" si="7"/>
        <v>1</v>
      </c>
      <c r="F26" s="4">
        <f>E26+F25</f>
        <v>12</v>
      </c>
      <c r="G26" s="27">
        <f t="shared" si="2"/>
        <v>360000</v>
      </c>
      <c r="H26" s="65">
        <v>5443.23</v>
      </c>
      <c r="I26" s="39">
        <f t="shared" si="8"/>
        <v>162117.16</v>
      </c>
      <c r="J26" s="29">
        <f t="shared" si="3"/>
        <v>0.45032544444444444</v>
      </c>
      <c r="K26" s="70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42"/>
      <c r="S26" s="33">
        <f t="shared" si="4"/>
        <v>0</v>
      </c>
      <c r="T26" s="39">
        <f t="shared" si="13"/>
        <v>208672.93</v>
      </c>
      <c r="U26" s="34">
        <f t="shared" si="9"/>
        <v>0.57964702777777777</v>
      </c>
      <c r="V26" s="76" t="e">
        <f t="shared" si="5"/>
        <v>#DIV/0!</v>
      </c>
      <c r="W26" s="31">
        <f t="shared" si="10"/>
        <v>67220.460000000006</v>
      </c>
    </row>
    <row r="27" spans="2:25" ht="20.25" customHeight="1">
      <c r="B27" s="15">
        <f t="shared" si="11"/>
        <v>46071</v>
      </c>
      <c r="C27" s="6" t="str">
        <f t="shared" si="6"/>
        <v>qua</v>
      </c>
      <c r="D27" s="6">
        <v>3</v>
      </c>
      <c r="E27" s="6">
        <f t="shared" si="7"/>
        <v>1</v>
      </c>
      <c r="F27" s="4">
        <f t="shared" si="15"/>
        <v>13</v>
      </c>
      <c r="G27" s="27">
        <f t="shared" si="2"/>
        <v>390000</v>
      </c>
      <c r="H27" s="65">
        <v>700.8</v>
      </c>
      <c r="I27" s="39">
        <f t="shared" si="8"/>
        <v>162817.96</v>
      </c>
      <c r="J27" s="29">
        <f t="shared" si="3"/>
        <v>0.41748194871794869</v>
      </c>
      <c r="K27" s="70">
        <v>6</v>
      </c>
      <c r="L27" s="71">
        <v>0</v>
      </c>
      <c r="M27" s="71">
        <v>7219.18</v>
      </c>
      <c r="N27" s="71">
        <v>4416.43</v>
      </c>
      <c r="O27" s="71">
        <v>0</v>
      </c>
      <c r="P27" s="71">
        <v>0</v>
      </c>
      <c r="Q27" s="71">
        <v>0</v>
      </c>
      <c r="R27" s="42"/>
      <c r="S27" s="33">
        <f t="shared" si="4"/>
        <v>11635.61</v>
      </c>
      <c r="T27" s="39">
        <f t="shared" si="13"/>
        <v>220308.53999999998</v>
      </c>
      <c r="U27" s="34">
        <f t="shared" si="9"/>
        <v>0.56489369230769226</v>
      </c>
      <c r="V27" s="76">
        <f t="shared" si="5"/>
        <v>1939.2683333333334</v>
      </c>
      <c r="W27" s="31">
        <f t="shared" si="10"/>
        <v>78155.27</v>
      </c>
    </row>
    <row r="28" spans="2:25" ht="20.25" customHeight="1">
      <c r="B28" s="15">
        <f t="shared" si="11"/>
        <v>46072</v>
      </c>
      <c r="C28" s="6" t="str">
        <f t="shared" si="6"/>
        <v>qui</v>
      </c>
      <c r="D28" s="6">
        <v>4</v>
      </c>
      <c r="E28" s="6">
        <f t="shared" si="7"/>
        <v>1</v>
      </c>
      <c r="F28" s="4">
        <f t="shared" si="15"/>
        <v>14</v>
      </c>
      <c r="G28" s="27">
        <f t="shared" si="2"/>
        <v>420000</v>
      </c>
      <c r="H28" s="65">
        <v>50474.61</v>
      </c>
      <c r="I28" s="39">
        <f t="shared" si="8"/>
        <v>213292.57</v>
      </c>
      <c r="J28" s="29">
        <f t="shared" si="3"/>
        <v>0.50783945238095241</v>
      </c>
      <c r="K28" s="70">
        <v>7</v>
      </c>
      <c r="L28" s="71">
        <v>3789.42</v>
      </c>
      <c r="M28" s="71">
        <v>2292.3200000000002</v>
      </c>
      <c r="N28" s="71">
        <v>0</v>
      </c>
      <c r="O28" s="71">
        <v>4674.63</v>
      </c>
      <c r="P28" s="71">
        <v>0</v>
      </c>
      <c r="Q28" s="71">
        <v>0</v>
      </c>
      <c r="R28" s="42"/>
      <c r="S28" s="33">
        <f t="shared" si="4"/>
        <v>10756.369999999999</v>
      </c>
      <c r="T28" s="39">
        <f t="shared" si="13"/>
        <v>231064.90999999997</v>
      </c>
      <c r="U28" s="34">
        <f t="shared" si="9"/>
        <v>0.55015454761904758</v>
      </c>
      <c r="V28" s="76">
        <f t="shared" si="5"/>
        <v>1536.6242857142856</v>
      </c>
      <c r="W28" s="31">
        <f t="shared" si="10"/>
        <v>38437.03</v>
      </c>
    </row>
    <row r="29" spans="2:25" ht="20.25" customHeight="1">
      <c r="B29" s="15">
        <f t="shared" si="11"/>
        <v>46073</v>
      </c>
      <c r="C29" s="6" t="str">
        <f t="shared" si="6"/>
        <v>sex</v>
      </c>
      <c r="D29" s="6">
        <v>5</v>
      </c>
      <c r="E29" s="6">
        <f t="shared" si="7"/>
        <v>1</v>
      </c>
      <c r="F29" s="4">
        <f t="shared" si="15"/>
        <v>15</v>
      </c>
      <c r="G29" s="27">
        <f t="shared" si="2"/>
        <v>450000</v>
      </c>
      <c r="H29" s="65">
        <v>24742.52</v>
      </c>
      <c r="I29" s="39">
        <f t="shared" si="8"/>
        <v>238035.09</v>
      </c>
      <c r="J29" s="29">
        <f t="shared" si="3"/>
        <v>0.5289668666666667</v>
      </c>
      <c r="K29" s="70">
        <v>7</v>
      </c>
      <c r="L29" s="71">
        <v>0</v>
      </c>
      <c r="M29" s="71">
        <v>9316.5400000000009</v>
      </c>
      <c r="N29" s="71">
        <v>0</v>
      </c>
      <c r="O29" s="71">
        <v>0</v>
      </c>
      <c r="P29" s="71">
        <v>0</v>
      </c>
      <c r="Q29" s="71">
        <v>0</v>
      </c>
      <c r="R29" s="42"/>
      <c r="S29" s="33">
        <f t="shared" si="4"/>
        <v>9316.5400000000009</v>
      </c>
      <c r="T29" s="39">
        <f t="shared" si="13"/>
        <v>240381.44999999998</v>
      </c>
      <c r="U29" s="34">
        <f t="shared" si="9"/>
        <v>0.53418099999999991</v>
      </c>
      <c r="V29" s="76">
        <f t="shared" si="5"/>
        <v>1330.9342857142858</v>
      </c>
      <c r="W29" s="31">
        <f t="shared" si="10"/>
        <v>23011.05</v>
      </c>
    </row>
    <row r="30" spans="2:25" ht="20.25" customHeight="1">
      <c r="B30" s="15">
        <f t="shared" si="11"/>
        <v>46074</v>
      </c>
      <c r="C30" s="6" t="str">
        <f t="shared" si="6"/>
        <v>sáb</v>
      </c>
      <c r="D30" s="6">
        <v>6</v>
      </c>
      <c r="E30" s="6">
        <f t="shared" si="7"/>
        <v>0</v>
      </c>
      <c r="F30" s="4">
        <f t="shared" si="15"/>
        <v>15</v>
      </c>
      <c r="G30" s="27">
        <f t="shared" si="2"/>
        <v>450000</v>
      </c>
      <c r="H30" s="65"/>
      <c r="I30" s="39">
        <f t="shared" si="8"/>
        <v>238035.09</v>
      </c>
      <c r="J30" s="29">
        <f t="shared" si="3"/>
        <v>0.5289668666666667</v>
      </c>
      <c r="K30" s="70"/>
      <c r="L30" s="71"/>
      <c r="M30" s="71"/>
      <c r="N30" s="71"/>
      <c r="O30" s="71"/>
      <c r="P30" s="71"/>
      <c r="Q30" s="71"/>
      <c r="R30" s="42"/>
      <c r="S30" s="33">
        <f t="shared" si="4"/>
        <v>0</v>
      </c>
      <c r="T30" s="39">
        <f t="shared" si="13"/>
        <v>240381.44999999998</v>
      </c>
      <c r="U30" s="34">
        <f t="shared" si="9"/>
        <v>0.53418099999999991</v>
      </c>
      <c r="V30" s="76" t="str">
        <f t="shared" si="5"/>
        <v/>
      </c>
      <c r="W30" s="31">
        <f t="shared" si="10"/>
        <v>0</v>
      </c>
    </row>
    <row r="31" spans="2:25" ht="20.25" customHeight="1">
      <c r="B31" s="15">
        <f t="shared" si="11"/>
        <v>46075</v>
      </c>
      <c r="C31" s="6" t="str">
        <f t="shared" si="6"/>
        <v>dom</v>
      </c>
      <c r="D31" s="6">
        <v>7</v>
      </c>
      <c r="E31" s="6">
        <f t="shared" si="7"/>
        <v>0</v>
      </c>
      <c r="F31" s="4">
        <f t="shared" si="15"/>
        <v>15</v>
      </c>
      <c r="G31" s="27">
        <f t="shared" si="2"/>
        <v>450000</v>
      </c>
      <c r="H31" s="65"/>
      <c r="I31" s="39">
        <f t="shared" si="8"/>
        <v>238035.09</v>
      </c>
      <c r="J31" s="29">
        <f t="shared" si="3"/>
        <v>0.5289668666666667</v>
      </c>
      <c r="K31" s="70"/>
      <c r="L31" s="71"/>
      <c r="M31" s="71"/>
      <c r="N31" s="71"/>
      <c r="O31" s="71"/>
      <c r="P31" s="71"/>
      <c r="Q31" s="71"/>
      <c r="R31" s="42"/>
      <c r="S31" s="33">
        <f t="shared" si="4"/>
        <v>0</v>
      </c>
      <c r="T31" s="39">
        <f t="shared" si="13"/>
        <v>240381.44999999998</v>
      </c>
      <c r="U31" s="34">
        <f t="shared" si="9"/>
        <v>0.53418099999999991</v>
      </c>
      <c r="V31" s="76" t="str">
        <f t="shared" si="5"/>
        <v/>
      </c>
      <c r="W31" s="31">
        <f t="shared" si="10"/>
        <v>0</v>
      </c>
    </row>
    <row r="32" spans="2:25" ht="20.25" customHeight="1">
      <c r="B32" s="15">
        <f t="shared" si="11"/>
        <v>46076</v>
      </c>
      <c r="C32" s="6" t="str">
        <f t="shared" si="6"/>
        <v>seg</v>
      </c>
      <c r="D32" s="6">
        <v>1</v>
      </c>
      <c r="E32" s="6">
        <f t="shared" si="7"/>
        <v>1</v>
      </c>
      <c r="F32" s="4">
        <f t="shared" si="15"/>
        <v>16</v>
      </c>
      <c r="G32" s="27">
        <f t="shared" si="2"/>
        <v>480000</v>
      </c>
      <c r="H32" s="65">
        <v>1978.74</v>
      </c>
      <c r="I32" s="39">
        <f t="shared" si="8"/>
        <v>240013.83</v>
      </c>
      <c r="J32" s="29">
        <f t="shared" si="3"/>
        <v>0.50002881249999998</v>
      </c>
      <c r="K32" s="70">
        <v>10</v>
      </c>
      <c r="L32" s="71">
        <v>30101.69</v>
      </c>
      <c r="M32" s="71">
        <v>6955.83</v>
      </c>
      <c r="N32" s="71">
        <v>0</v>
      </c>
      <c r="O32" s="71">
        <v>0</v>
      </c>
      <c r="P32" s="71">
        <v>0</v>
      </c>
      <c r="Q32" s="71">
        <v>0</v>
      </c>
      <c r="R32" s="42"/>
      <c r="S32" s="33">
        <f t="shared" si="4"/>
        <v>37057.519999999997</v>
      </c>
      <c r="T32" s="39">
        <f t="shared" si="13"/>
        <v>277438.96999999997</v>
      </c>
      <c r="U32" s="34">
        <f t="shared" si="9"/>
        <v>0.5779978541666666</v>
      </c>
      <c r="V32" s="76">
        <f t="shared" si="5"/>
        <v>3705.7519999999995</v>
      </c>
      <c r="W32" s="31">
        <f t="shared" si="10"/>
        <v>35078.78</v>
      </c>
    </row>
    <row r="33" spans="2:23" ht="20.25" customHeight="1">
      <c r="B33" s="15">
        <f t="shared" si="11"/>
        <v>46077</v>
      </c>
      <c r="C33" s="6" t="str">
        <f t="shared" si="6"/>
        <v>ter</v>
      </c>
      <c r="D33" s="6">
        <v>2</v>
      </c>
      <c r="E33" s="6">
        <f t="shared" si="7"/>
        <v>1</v>
      </c>
      <c r="F33" s="4">
        <f t="shared" si="15"/>
        <v>17</v>
      </c>
      <c r="G33" s="27">
        <f t="shared" si="2"/>
        <v>510000</v>
      </c>
      <c r="H33" s="65">
        <v>7105.89</v>
      </c>
      <c r="I33" s="39">
        <f t="shared" si="8"/>
        <v>247119.72</v>
      </c>
      <c r="J33" s="29">
        <f t="shared" si="3"/>
        <v>0.4845484705882353</v>
      </c>
      <c r="K33" s="70">
        <v>15</v>
      </c>
      <c r="L33" s="71">
        <v>9542.39</v>
      </c>
      <c r="M33" s="71">
        <v>8389.83</v>
      </c>
      <c r="N33" s="71">
        <v>0</v>
      </c>
      <c r="O33" s="71">
        <v>1727.88</v>
      </c>
      <c r="P33" s="71">
        <v>0</v>
      </c>
      <c r="Q33" s="71">
        <v>7663.08</v>
      </c>
      <c r="R33" s="42"/>
      <c r="S33" s="33">
        <f t="shared" si="4"/>
        <v>27323.18</v>
      </c>
      <c r="T33" s="39">
        <f t="shared" si="13"/>
        <v>304762.14999999997</v>
      </c>
      <c r="U33" s="34">
        <f t="shared" si="9"/>
        <v>0.59757284313725478</v>
      </c>
      <c r="V33" s="76">
        <f t="shared" si="5"/>
        <v>1821.5453333333332</v>
      </c>
      <c r="W33" s="31">
        <f t="shared" si="10"/>
        <v>55296.07</v>
      </c>
    </row>
    <row r="34" spans="2:23" ht="20.25" customHeight="1">
      <c r="B34" s="15">
        <f t="shared" si="11"/>
        <v>46078</v>
      </c>
      <c r="C34" s="6" t="str">
        <f t="shared" si="6"/>
        <v>qua</v>
      </c>
      <c r="D34" s="6">
        <v>3</v>
      </c>
      <c r="E34" s="6">
        <f t="shared" si="7"/>
        <v>1</v>
      </c>
      <c r="F34" s="4">
        <f t="shared" si="15"/>
        <v>18</v>
      </c>
      <c r="G34" s="27">
        <f t="shared" si="2"/>
        <v>540000</v>
      </c>
      <c r="H34" s="65">
        <v>5646.96</v>
      </c>
      <c r="I34" s="39">
        <f t="shared" si="8"/>
        <v>252766.68</v>
      </c>
      <c r="J34" s="29">
        <f t="shared" si="3"/>
        <v>0.46808644444444442</v>
      </c>
      <c r="K34" s="70">
        <v>21</v>
      </c>
      <c r="L34" s="71">
        <v>5545.55</v>
      </c>
      <c r="M34" s="71">
        <v>52767.75</v>
      </c>
      <c r="N34" s="71">
        <v>983.9</v>
      </c>
      <c r="O34" s="71">
        <v>2409.6799999999998</v>
      </c>
      <c r="P34" s="71">
        <v>0</v>
      </c>
      <c r="Q34" s="71">
        <v>0</v>
      </c>
      <c r="R34" s="42"/>
      <c r="S34" s="33">
        <f t="shared" si="4"/>
        <v>61706.880000000005</v>
      </c>
      <c r="T34" s="39">
        <f>IF(SUM(S34,T33)="","",SUM(S34,T33))</f>
        <v>366469.02999999997</v>
      </c>
      <c r="U34" s="34">
        <f t="shared" si="9"/>
        <v>0.67864635185185185</v>
      </c>
      <c r="V34" s="76">
        <f t="shared" si="5"/>
        <v>2938.4228571428575</v>
      </c>
      <c r="W34" s="31">
        <f t="shared" si="10"/>
        <v>111355.99</v>
      </c>
    </row>
    <row r="35" spans="2:23" ht="20.25" customHeight="1">
      <c r="B35" s="15">
        <f t="shared" si="11"/>
        <v>46079</v>
      </c>
      <c r="C35" s="6" t="str">
        <f t="shared" si="6"/>
        <v>qui</v>
      </c>
      <c r="D35" s="6">
        <v>4</v>
      </c>
      <c r="E35" s="6">
        <f t="shared" si="7"/>
        <v>1</v>
      </c>
      <c r="F35" s="4">
        <f t="shared" si="15"/>
        <v>19</v>
      </c>
      <c r="G35" s="27">
        <f t="shared" si="2"/>
        <v>570000</v>
      </c>
      <c r="H35" s="65">
        <v>36911.01</v>
      </c>
      <c r="I35" s="39">
        <f t="shared" si="8"/>
        <v>289677.69</v>
      </c>
      <c r="J35" s="29">
        <f t="shared" si="3"/>
        <v>0.50820647368421057</v>
      </c>
      <c r="K35" s="70">
        <v>18</v>
      </c>
      <c r="L35" s="71">
        <v>0</v>
      </c>
      <c r="M35" s="71">
        <v>20267.990000000002</v>
      </c>
      <c r="N35" s="71">
        <v>0</v>
      </c>
      <c r="O35" s="71">
        <v>5561.06</v>
      </c>
      <c r="P35" s="71">
        <v>0</v>
      </c>
      <c r="Q35" s="71">
        <v>2184</v>
      </c>
      <c r="R35" s="42"/>
      <c r="S35" s="33">
        <f t="shared" si="4"/>
        <v>28013.050000000003</v>
      </c>
      <c r="T35" s="39">
        <f t="shared" si="13"/>
        <v>394482.07999999996</v>
      </c>
      <c r="U35" s="34">
        <f t="shared" si="9"/>
        <v>0.69207382456140343</v>
      </c>
      <c r="V35" s="76">
        <f t="shared" si="5"/>
        <v>1556.2805555555558</v>
      </c>
      <c r="W35" s="31">
        <f t="shared" si="10"/>
        <v>102458.03</v>
      </c>
    </row>
    <row r="36" spans="2:23" ht="20.25" customHeight="1">
      <c r="B36" s="15">
        <f t="shared" si="11"/>
        <v>46080</v>
      </c>
      <c r="C36" s="6" t="str">
        <f t="shared" si="6"/>
        <v>sex</v>
      </c>
      <c r="D36" s="6">
        <v>5</v>
      </c>
      <c r="E36" s="6">
        <f t="shared" si="7"/>
        <v>1</v>
      </c>
      <c r="F36" s="4">
        <f t="shared" si="15"/>
        <v>20</v>
      </c>
      <c r="G36" s="27">
        <f t="shared" si="2"/>
        <v>600000</v>
      </c>
      <c r="H36" s="65">
        <v>107503.08</v>
      </c>
      <c r="I36" s="39">
        <f t="shared" si="8"/>
        <v>397180.77</v>
      </c>
      <c r="J36" s="29">
        <f t="shared" si="3"/>
        <v>0.66196795000000008</v>
      </c>
      <c r="K36" s="70">
        <v>13</v>
      </c>
      <c r="L36" s="71">
        <v>9228.7999999999993</v>
      </c>
      <c r="M36" s="71">
        <v>20250.93</v>
      </c>
      <c r="N36" s="71">
        <v>0</v>
      </c>
      <c r="O36" s="71">
        <v>2503.2199999999998</v>
      </c>
      <c r="P36" s="71">
        <v>0</v>
      </c>
      <c r="Q36" s="71">
        <v>0</v>
      </c>
      <c r="R36" s="42"/>
      <c r="S36" s="33">
        <f t="shared" si="4"/>
        <v>31982.95</v>
      </c>
      <c r="T36" s="39">
        <f t="shared" si="13"/>
        <v>426465.02999999997</v>
      </c>
      <c r="U36" s="34">
        <f t="shared" si="9"/>
        <v>0.71077504999999996</v>
      </c>
      <c r="V36" s="76">
        <f t="shared" si="5"/>
        <v>2460.226923076923</v>
      </c>
      <c r="W36" s="31">
        <f t="shared" si="10"/>
        <v>26937.900000000009</v>
      </c>
    </row>
    <row r="37" spans="2:23" ht="20.25" customHeight="1">
      <c r="B37" s="15">
        <f t="shared" si="11"/>
        <v>46081</v>
      </c>
      <c r="C37" s="6" t="str">
        <f t="shared" si="6"/>
        <v>sáb</v>
      </c>
      <c r="D37" s="6">
        <v>6</v>
      </c>
      <c r="E37" s="6">
        <f t="shared" si="7"/>
        <v>0</v>
      </c>
      <c r="F37" s="4">
        <f t="shared" si="15"/>
        <v>20</v>
      </c>
      <c r="G37" s="27">
        <f t="shared" si="2"/>
        <v>600000</v>
      </c>
      <c r="H37" s="65"/>
      <c r="I37" s="39">
        <f t="shared" si="8"/>
        <v>397180.77</v>
      </c>
      <c r="J37" s="29">
        <f t="shared" si="3"/>
        <v>0.66196795000000008</v>
      </c>
      <c r="K37" s="70"/>
      <c r="L37" s="71"/>
      <c r="M37" s="71"/>
      <c r="O37" s="71"/>
      <c r="P37" s="71"/>
      <c r="Q37" s="71"/>
      <c r="R37" s="42"/>
      <c r="S37" s="33">
        <f t="shared" si="4"/>
        <v>0</v>
      </c>
      <c r="T37" s="39">
        <f t="shared" si="13"/>
        <v>426465.02999999997</v>
      </c>
      <c r="U37" s="34">
        <f t="shared" si="9"/>
        <v>0.71077504999999996</v>
      </c>
      <c r="V37" s="76" t="str">
        <f t="shared" si="5"/>
        <v/>
      </c>
      <c r="W37" s="31">
        <f t="shared" si="10"/>
        <v>0</v>
      </c>
    </row>
    <row r="38" spans="2:23" ht="20.25" customHeight="1">
      <c r="B38" s="15">
        <f t="shared" si="11"/>
        <v>46082</v>
      </c>
      <c r="C38" s="6" t="str">
        <f t="shared" si="6"/>
        <v>dom</v>
      </c>
      <c r="D38" s="6">
        <v>7</v>
      </c>
      <c r="E38" s="6">
        <f t="shared" si="7"/>
        <v>0</v>
      </c>
      <c r="F38" s="4">
        <f t="shared" si="15"/>
        <v>20</v>
      </c>
      <c r="G38" s="27">
        <f t="shared" si="2"/>
        <v>600000</v>
      </c>
      <c r="H38" s="65"/>
      <c r="I38" s="39">
        <f t="shared" si="8"/>
        <v>397180.77</v>
      </c>
      <c r="J38" s="29">
        <f t="shared" si="3"/>
        <v>0.66196795000000008</v>
      </c>
      <c r="K38" s="70"/>
      <c r="L38" s="71"/>
      <c r="M38" s="71"/>
      <c r="N38" s="71"/>
      <c r="O38" s="71"/>
      <c r="P38" s="71"/>
      <c r="Q38" s="71"/>
      <c r="R38" s="42"/>
      <c r="S38" s="33">
        <f t="shared" si="4"/>
        <v>0</v>
      </c>
      <c r="T38" s="39">
        <f t="shared" si="13"/>
        <v>426465.02999999997</v>
      </c>
      <c r="U38" s="34">
        <f t="shared" si="9"/>
        <v>0.71077504999999996</v>
      </c>
      <c r="V38" s="76" t="str">
        <f t="shared" si="5"/>
        <v/>
      </c>
      <c r="W38" s="31">
        <f t="shared" si="10"/>
        <v>0</v>
      </c>
    </row>
    <row r="39" spans="2:23" ht="20.25" customHeight="1">
      <c r="B39" s="15">
        <f t="shared" si="11"/>
        <v>46083</v>
      </c>
      <c r="C39" s="6" t="str">
        <f t="shared" si="6"/>
        <v>seg</v>
      </c>
      <c r="D39" s="6">
        <v>1</v>
      </c>
      <c r="E39" s="6">
        <f t="shared" si="7"/>
        <v>1</v>
      </c>
      <c r="F39" s="4">
        <f t="shared" si="15"/>
        <v>21</v>
      </c>
      <c r="G39" s="27">
        <f t="shared" si="2"/>
        <v>630000</v>
      </c>
      <c r="H39" s="65"/>
      <c r="I39" s="39">
        <f t="shared" si="8"/>
        <v>397180.77</v>
      </c>
      <c r="J39" s="29">
        <f t="shared" si="3"/>
        <v>0.63044566666666668</v>
      </c>
      <c r="K39" s="70"/>
      <c r="L39" s="71"/>
      <c r="M39" s="71"/>
      <c r="N39" s="71"/>
      <c r="O39" s="71"/>
      <c r="P39" s="71"/>
      <c r="Q39" s="71"/>
      <c r="R39" s="42"/>
      <c r="S39" s="33">
        <f t="shared" si="4"/>
        <v>0</v>
      </c>
      <c r="T39" s="39">
        <f t="shared" si="13"/>
        <v>426465.02999999997</v>
      </c>
      <c r="U39" s="34">
        <f t="shared" si="9"/>
        <v>0.67692861904761903</v>
      </c>
      <c r="V39" s="76" t="str">
        <f t="shared" si="5"/>
        <v/>
      </c>
      <c r="W39" s="31">
        <f t="shared" si="10"/>
        <v>0</v>
      </c>
    </row>
    <row r="40" spans="2:23" ht="20.25" customHeight="1">
      <c r="B40" s="16">
        <f>B39+1</f>
        <v>46084</v>
      </c>
      <c r="C40" s="17" t="str">
        <f>TEXT(B40,"ddd")</f>
        <v>ter</v>
      </c>
      <c r="D40" s="17">
        <v>2</v>
      </c>
      <c r="E40" s="17">
        <f t="shared" si="7"/>
        <v>1</v>
      </c>
      <c r="F40" s="18">
        <f>E40+F39</f>
        <v>22</v>
      </c>
      <c r="G40" s="28">
        <f>IF(F40&lt;1,"",$H$5*F40)</f>
        <v>660000</v>
      </c>
      <c r="H40" s="67"/>
      <c r="I40" s="44">
        <f t="shared" si="8"/>
        <v>397180.77</v>
      </c>
      <c r="J40" s="30">
        <f t="shared" si="3"/>
        <v>0.60178904545454548</v>
      </c>
      <c r="K40" s="72"/>
      <c r="L40" s="73"/>
      <c r="M40" s="73"/>
      <c r="N40" s="73"/>
      <c r="O40" s="73"/>
      <c r="P40" s="73"/>
      <c r="Q40" s="73"/>
      <c r="R40" s="43"/>
      <c r="S40" s="37">
        <f t="shared" si="4"/>
        <v>0</v>
      </c>
      <c r="T40" s="44">
        <f t="shared" si="13"/>
        <v>426465.02999999997</v>
      </c>
      <c r="U40" s="78">
        <f t="shared" si="9"/>
        <v>0.64615913636363631</v>
      </c>
      <c r="V40" s="77" t="str">
        <f t="shared" si="5"/>
        <v/>
      </c>
      <c r="W40" s="32">
        <f t="shared" si="10"/>
        <v>0</v>
      </c>
    </row>
    <row r="41" spans="2:23" ht="24" customHeight="1"/>
  </sheetData>
  <mergeCells count="16">
    <mergeCell ref="V6:V9"/>
    <mergeCell ref="W6:W9"/>
    <mergeCell ref="B2:W2"/>
    <mergeCell ref="B3:W3"/>
    <mergeCell ref="B6:B9"/>
    <mergeCell ref="C6:C9"/>
    <mergeCell ref="G6:G9"/>
    <mergeCell ref="S7:S9"/>
    <mergeCell ref="K7:K9"/>
    <mergeCell ref="T7:T9"/>
    <mergeCell ref="H7:H9"/>
    <mergeCell ref="J7:J9"/>
    <mergeCell ref="I7:I9"/>
    <mergeCell ref="H6:J6"/>
    <mergeCell ref="U7:U9"/>
    <mergeCell ref="K6:U6"/>
  </mergeCells>
  <conditionalFormatting sqref="C10:C40">
    <cfRule type="cellIs" dxfId="11" priority="3" operator="equal">
      <formula>"dom"</formula>
    </cfRule>
    <cfRule type="cellIs" dxfId="10" priority="4" operator="equal">
      <formula>"sáb"</formula>
    </cfRule>
  </conditionalFormatting>
  <pageMargins left="0.19685039370078741" right="0.19685039370078741" top="0.19685039370078741" bottom="0.19685039370078741" header="0" footer="0"/>
  <pageSetup paperSize="9" scale="5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EA01-F047-4024-A85E-B87BFA895F56}">
  <sheetPr>
    <pageSetUpPr fitToPage="1"/>
  </sheetPr>
  <dimension ref="B1:AF41"/>
  <sheetViews>
    <sheetView showGridLines="0" zoomScale="87" zoomScaleNormal="87" workbookViewId="0">
      <pane xSplit="7" ySplit="9" topLeftCell="H12" activePane="bottomRight" state="frozen"/>
      <selection pane="bottomRight" activeCell="M7" sqref="M7:M9"/>
      <selection pane="bottomLeft"/>
      <selection pane="topRight"/>
    </sheetView>
  </sheetViews>
  <sheetFormatPr defaultColWidth="15.5703125" defaultRowHeight="14.25" customHeight="1"/>
  <cols>
    <col min="1" max="1" width="1.140625" style="3" customWidth="1"/>
    <col min="2" max="2" width="10.5703125" style="3" customWidth="1"/>
    <col min="3" max="3" width="10.5703125" style="3" hidden="1" customWidth="1"/>
    <col min="4" max="6" width="11.85546875" style="3" hidden="1" customWidth="1"/>
    <col min="7" max="7" width="16.5703125" style="3" customWidth="1"/>
    <col min="8" max="9" width="15.5703125" style="3" customWidth="1"/>
    <col min="10" max="18" width="16.5703125" style="3" customWidth="1"/>
    <col min="19" max="21" width="15.85546875" style="1" customWidth="1"/>
    <col min="22" max="22" width="15.85546875" style="3" customWidth="1"/>
    <col min="23" max="23" width="16.85546875" style="8" bestFit="1" customWidth="1"/>
    <col min="24" max="24" width="1.140625" style="3" customWidth="1"/>
    <col min="25" max="25" width="15.5703125" style="79"/>
    <col min="26" max="16384" width="15.5703125" style="3"/>
  </cols>
  <sheetData>
    <row r="1" spans="2:32" ht="6.95" customHeight="1"/>
    <row r="2" spans="2:32" s="1" customFormat="1" ht="26.25" customHeight="1">
      <c r="B2" s="100" t="s">
        <v>15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2"/>
      <c r="Y2" s="80"/>
    </row>
    <row r="3" spans="2:32" s="1" customFormat="1" ht="26.25" customHeight="1">
      <c r="B3" s="103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5"/>
      <c r="Y3" s="80"/>
    </row>
    <row r="4" spans="2:32" s="1" customFormat="1" ht="26.25" customHeight="1">
      <c r="B4" s="14"/>
      <c r="C4" s="82"/>
      <c r="D4" s="82"/>
      <c r="E4" s="82"/>
      <c r="F4" s="82"/>
      <c r="G4" s="83" t="s">
        <v>17</v>
      </c>
      <c r="H4" s="19">
        <v>700000</v>
      </c>
      <c r="L4" s="84"/>
      <c r="M4" s="84"/>
      <c r="N4" s="84"/>
      <c r="O4" s="84"/>
      <c r="P4" s="84"/>
      <c r="Q4" s="84"/>
      <c r="R4" s="84"/>
      <c r="V4" s="84" t="s">
        <v>18</v>
      </c>
      <c r="W4" s="45">
        <v>20</v>
      </c>
      <c r="Y4" s="80"/>
      <c r="AA4" s="10"/>
      <c r="AB4" s="11"/>
      <c r="AC4" s="12"/>
      <c r="AD4" s="13"/>
      <c r="AE4" s="12"/>
      <c r="AF4" s="13"/>
    </row>
    <row r="5" spans="2:32" s="7" customFormat="1" ht="26.25" customHeight="1">
      <c r="B5" s="21"/>
      <c r="C5" s="22"/>
      <c r="D5" s="22"/>
      <c r="E5" s="22"/>
      <c r="F5" s="22"/>
      <c r="G5" s="23" t="s">
        <v>19</v>
      </c>
      <c r="H5" s="24">
        <f>IF(H4="","",H4/W4)</f>
        <v>35000</v>
      </c>
      <c r="I5" s="22"/>
      <c r="J5" s="22"/>
      <c r="K5" s="22"/>
      <c r="L5" s="25"/>
      <c r="M5" s="25"/>
      <c r="N5" s="25"/>
      <c r="O5" s="25"/>
      <c r="P5" s="25"/>
      <c r="Q5" s="25"/>
      <c r="R5" s="25"/>
      <c r="S5" s="22"/>
      <c r="T5" s="22"/>
      <c r="U5" s="22"/>
      <c r="V5" s="25" t="s">
        <v>20</v>
      </c>
      <c r="W5" s="46">
        <f>$B$10</f>
        <v>46082</v>
      </c>
      <c r="Y5" s="81"/>
    </row>
    <row r="6" spans="2:32" s="1" customFormat="1" ht="33.75" customHeight="1">
      <c r="B6" s="106" t="s">
        <v>21</v>
      </c>
      <c r="C6" s="108" t="s">
        <v>22</v>
      </c>
      <c r="D6" s="20" t="s">
        <v>22</v>
      </c>
      <c r="E6" s="20" t="s">
        <v>23</v>
      </c>
      <c r="F6" s="20" t="s">
        <v>24</v>
      </c>
      <c r="G6" s="108" t="s">
        <v>25</v>
      </c>
      <c r="H6" s="110" t="s">
        <v>4</v>
      </c>
      <c r="I6" s="110"/>
      <c r="J6" s="111"/>
      <c r="K6" s="112" t="s">
        <v>26</v>
      </c>
      <c r="L6" s="113"/>
      <c r="M6" s="113"/>
      <c r="N6" s="113"/>
      <c r="O6" s="113"/>
      <c r="P6" s="113"/>
      <c r="Q6" s="113"/>
      <c r="R6" s="113"/>
      <c r="S6" s="113"/>
      <c r="T6" s="113"/>
      <c r="U6" s="114"/>
      <c r="V6" s="108" t="s">
        <v>27</v>
      </c>
      <c r="W6" s="115" t="s">
        <v>28</v>
      </c>
      <c r="Y6" s="80" t="s">
        <v>29</v>
      </c>
    </row>
    <row r="7" spans="2:32" s="1" customFormat="1" ht="17.25" customHeight="1">
      <c r="B7" s="106"/>
      <c r="C7" s="108"/>
      <c r="D7" s="9"/>
      <c r="E7" s="9"/>
      <c r="F7" s="9"/>
      <c r="G7" s="108"/>
      <c r="H7" s="117" t="s">
        <v>30</v>
      </c>
      <c r="I7" s="119" t="s">
        <v>31</v>
      </c>
      <c r="J7" s="98" t="s">
        <v>32</v>
      </c>
      <c r="K7" s="121" t="s">
        <v>33</v>
      </c>
      <c r="L7" s="35" t="s">
        <v>9</v>
      </c>
      <c r="M7" s="35" t="s">
        <v>34</v>
      </c>
      <c r="N7" s="35" t="s">
        <v>35</v>
      </c>
      <c r="O7" s="35" t="s">
        <v>36</v>
      </c>
      <c r="P7" s="35" t="s">
        <v>37</v>
      </c>
      <c r="Q7" s="35" t="s">
        <v>38</v>
      </c>
      <c r="R7" s="35" t="s">
        <v>41</v>
      </c>
      <c r="S7" s="122" t="s">
        <v>39</v>
      </c>
      <c r="T7" s="125" t="s">
        <v>40</v>
      </c>
      <c r="U7" s="97" t="s">
        <v>32</v>
      </c>
      <c r="V7" s="108"/>
      <c r="W7" s="115"/>
      <c r="Y7" s="80"/>
    </row>
    <row r="8" spans="2:32" s="1" customFormat="1" ht="17.25" customHeight="1">
      <c r="B8" s="106"/>
      <c r="C8" s="108"/>
      <c r="D8" s="20"/>
      <c r="E8" s="20"/>
      <c r="F8" s="20"/>
      <c r="G8" s="108"/>
      <c r="H8" s="117"/>
      <c r="I8" s="119"/>
      <c r="J8" s="98"/>
      <c r="K8" s="119"/>
      <c r="L8" s="63">
        <v>120000</v>
      </c>
      <c r="M8" s="63">
        <v>400000</v>
      </c>
      <c r="N8" s="63">
        <v>25000</v>
      </c>
      <c r="O8" s="63">
        <v>25000</v>
      </c>
      <c r="P8" s="63">
        <v>100000</v>
      </c>
      <c r="Q8" s="63">
        <v>15000</v>
      </c>
      <c r="R8" s="63">
        <v>15000</v>
      </c>
      <c r="S8" s="123"/>
      <c r="T8" s="117"/>
      <c r="U8" s="98"/>
      <c r="V8" s="108"/>
      <c r="W8" s="115"/>
      <c r="Y8" s="80"/>
    </row>
    <row r="9" spans="2:32" s="1" customFormat="1" ht="17.25" customHeight="1">
      <c r="B9" s="107"/>
      <c r="C9" s="109"/>
      <c r="D9" s="20"/>
      <c r="E9" s="20"/>
      <c r="F9" s="20"/>
      <c r="G9" s="109"/>
      <c r="H9" s="118"/>
      <c r="I9" s="120"/>
      <c r="J9" s="99"/>
      <c r="K9" s="120"/>
      <c r="L9" s="38">
        <f t="shared" ref="L9:R9" si="0">IF(L8="","",SUM(L10:L40)/L8)</f>
        <v>1.6840807500000001</v>
      </c>
      <c r="M9" s="38">
        <f t="shared" si="0"/>
        <v>0.75456307499999997</v>
      </c>
      <c r="N9" s="38">
        <f t="shared" si="0"/>
        <v>1.4383852000000001</v>
      </c>
      <c r="O9" s="38">
        <f t="shared" si="0"/>
        <v>1.5311699999999999</v>
      </c>
      <c r="P9" s="38">
        <f t="shared" si="0"/>
        <v>1.1638584000000001</v>
      </c>
      <c r="Q9" s="38">
        <f t="shared" si="0"/>
        <v>0.56222066666666659</v>
      </c>
      <c r="R9" s="38">
        <f t="shared" si="0"/>
        <v>0</v>
      </c>
      <c r="S9" s="124"/>
      <c r="T9" s="118"/>
      <c r="U9" s="99"/>
      <c r="V9" s="109"/>
      <c r="W9" s="116"/>
      <c r="Y9" s="80"/>
    </row>
    <row r="10" spans="2:32" ht="20.25" customHeight="1">
      <c r="B10" s="64">
        <v>46082</v>
      </c>
      <c r="C10" s="5" t="str">
        <f>TEXT(B10,"ddd")</f>
        <v>dom</v>
      </c>
      <c r="D10" s="5" cm="1">
        <f t="array" ref="D10:D39">WEEKDAY($B$10:$B$39,2)</f>
        <v>7</v>
      </c>
      <c r="E10" s="5">
        <f>IF(D10&gt;5,0,1)</f>
        <v>0</v>
      </c>
      <c r="F10" s="2">
        <f>E10</f>
        <v>0</v>
      </c>
      <c r="G10" s="26">
        <f t="shared" ref="G10:G39" si="1">IF(F11&lt;1,"",$H$5*F10)</f>
        <v>0</v>
      </c>
      <c r="H10" s="65"/>
      <c r="I10" s="39">
        <f>IF(SUM(H10)="","",SUM(H10))</f>
        <v>0</v>
      </c>
      <c r="J10" s="34" t="str">
        <f t="shared" ref="J10:J40" si="2">IF(I10=0,"",(I10/G10))</f>
        <v/>
      </c>
      <c r="K10" s="66"/>
      <c r="L10" s="65"/>
      <c r="M10" s="65"/>
      <c r="N10" s="65"/>
      <c r="O10" s="65"/>
      <c r="P10" s="65"/>
      <c r="Q10" s="65"/>
      <c r="R10" s="65"/>
      <c r="S10" s="33">
        <f t="shared" ref="S10:S40" si="3">IF(SUM(L10:R10)=0,0,SUM(L10:R10))</f>
        <v>0</v>
      </c>
      <c r="T10" s="39">
        <f>IF(SUM(S10)="","",SUM(S10))</f>
        <v>0</v>
      </c>
      <c r="U10" s="62" t="str">
        <f>IF(T10=0,"",(T10/G10))</f>
        <v/>
      </c>
      <c r="V10" s="75" t="str">
        <f t="shared" ref="V10:V22" si="4">IF(K10="","",S10/K10)</f>
        <v/>
      </c>
      <c r="W10" s="85">
        <v>29937.9</v>
      </c>
    </row>
    <row r="11" spans="2:32" ht="20.25" customHeight="1">
      <c r="B11" s="15">
        <f>B10+1</f>
        <v>46083</v>
      </c>
      <c r="C11" s="6" t="str">
        <f t="shared" ref="C11:C39" si="5">TEXT(B11,"ddd")</f>
        <v>seg</v>
      </c>
      <c r="D11" s="6">
        <v>1</v>
      </c>
      <c r="E11" s="6">
        <f t="shared" ref="E11:E40" si="6">IF(D11&gt;5,0,1)</f>
        <v>1</v>
      </c>
      <c r="F11" s="4">
        <f>E11+F10</f>
        <v>1</v>
      </c>
      <c r="G11" s="27">
        <f t="shared" si="1"/>
        <v>35000</v>
      </c>
      <c r="H11" s="65">
        <v>0</v>
      </c>
      <c r="I11" s="39">
        <f t="shared" ref="I11:I40" si="7">IF(SUM(H11,I10)="","",SUM(H11,I10))</f>
        <v>0</v>
      </c>
      <c r="J11" s="29" t="str">
        <f t="shared" si="2"/>
        <v/>
      </c>
      <c r="K11" s="68">
        <v>4</v>
      </c>
      <c r="L11" s="69">
        <v>18063.900000000001</v>
      </c>
      <c r="M11" s="69">
        <v>2145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33">
        <f t="shared" si="3"/>
        <v>20208.900000000001</v>
      </c>
      <c r="T11" s="39">
        <f>IF(SUM(S11,T10)="","",SUM(S11,T10))</f>
        <v>20208.900000000001</v>
      </c>
      <c r="U11" s="34">
        <f t="shared" ref="U11:U40" si="8">IF(T11=0,"",T11/G11)</f>
        <v>0.57739714285714294</v>
      </c>
      <c r="V11" s="76">
        <f t="shared" si="4"/>
        <v>5052.2250000000004</v>
      </c>
      <c r="W11" s="86">
        <f>(W10+S11-H11+Y11)</f>
        <v>50146.8</v>
      </c>
    </row>
    <row r="12" spans="2:32" ht="20.25" customHeight="1">
      <c r="B12" s="15">
        <f t="shared" ref="B12:B39" si="9">B11+1</f>
        <v>46084</v>
      </c>
      <c r="C12" s="6" t="str">
        <f>TEXT(B12,"ddd")</f>
        <v>ter</v>
      </c>
      <c r="D12" s="6">
        <v>2</v>
      </c>
      <c r="E12" s="6">
        <f>IF(D12&gt;5,0,1)</f>
        <v>1</v>
      </c>
      <c r="F12" s="4">
        <f t="shared" ref="F12:F13" si="10">E12+F11</f>
        <v>2</v>
      </c>
      <c r="G12" s="27">
        <f t="shared" si="1"/>
        <v>70000</v>
      </c>
      <c r="H12" s="65">
        <v>15023.34</v>
      </c>
      <c r="I12" s="39">
        <f t="shared" si="7"/>
        <v>15023.34</v>
      </c>
      <c r="J12" s="29">
        <f t="shared" si="2"/>
        <v>0.21461914285714287</v>
      </c>
      <c r="K12" s="68">
        <v>8</v>
      </c>
      <c r="L12" s="69">
        <v>0</v>
      </c>
      <c r="M12" s="69">
        <v>7385.64</v>
      </c>
      <c r="N12" s="69">
        <v>0</v>
      </c>
      <c r="O12" s="69">
        <v>2917.56</v>
      </c>
      <c r="P12" s="69">
        <v>13304.34</v>
      </c>
      <c r="Q12" s="69">
        <v>0</v>
      </c>
      <c r="R12" s="69">
        <v>0</v>
      </c>
      <c r="S12" s="33">
        <f>IF(SUM(L12:R12)=0,0,SUM(L12:R12))</f>
        <v>23607.54</v>
      </c>
      <c r="T12" s="39">
        <f t="shared" ref="T12:T40" si="11">IF(SUM(S12,T11)="","",SUM(S12,T11))</f>
        <v>43816.44</v>
      </c>
      <c r="U12" s="34">
        <f t="shared" si="8"/>
        <v>0.62594914285714287</v>
      </c>
      <c r="V12" s="76">
        <f t="shared" si="4"/>
        <v>2950.9425000000001</v>
      </c>
      <c r="W12" s="86">
        <f t="shared" ref="W12:W40" si="12">(W11+S12-H12+Y12)</f>
        <v>58731</v>
      </c>
    </row>
    <row r="13" spans="2:32" ht="20.25" customHeight="1">
      <c r="B13" s="15">
        <f t="shared" si="9"/>
        <v>46085</v>
      </c>
      <c r="C13" s="6" t="str">
        <f t="shared" si="5"/>
        <v>qua</v>
      </c>
      <c r="D13" s="6">
        <v>3</v>
      </c>
      <c r="E13" s="6">
        <f>IF(D13&gt;5,0,1)</f>
        <v>1</v>
      </c>
      <c r="F13" s="4">
        <f t="shared" si="10"/>
        <v>3</v>
      </c>
      <c r="G13" s="27">
        <f t="shared" si="1"/>
        <v>105000</v>
      </c>
      <c r="H13" s="65">
        <v>3088.8</v>
      </c>
      <c r="I13" s="39">
        <f t="shared" si="7"/>
        <v>18112.14</v>
      </c>
      <c r="J13" s="29">
        <f t="shared" si="2"/>
        <v>0.17249657142857142</v>
      </c>
      <c r="K13" s="68">
        <v>11</v>
      </c>
      <c r="L13" s="69">
        <v>519.48</v>
      </c>
      <c r="M13" s="69">
        <v>10939.86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33">
        <f t="shared" si="3"/>
        <v>11459.34</v>
      </c>
      <c r="T13" s="39">
        <f t="shared" si="11"/>
        <v>55275.78</v>
      </c>
      <c r="U13" s="34">
        <f t="shared" si="8"/>
        <v>0.52643600000000002</v>
      </c>
      <c r="V13" s="76">
        <f t="shared" si="4"/>
        <v>1041.7581818181818</v>
      </c>
      <c r="W13" s="86">
        <f t="shared" si="12"/>
        <v>67101.539999999994</v>
      </c>
    </row>
    <row r="14" spans="2:32" ht="20.25" customHeight="1">
      <c r="B14" s="15">
        <f>B13+1</f>
        <v>46086</v>
      </c>
      <c r="C14" s="6" t="str">
        <f>TEXT(B14,"ddd")</f>
        <v>qui</v>
      </c>
      <c r="D14" s="6">
        <v>4</v>
      </c>
      <c r="E14" s="6">
        <f>IF(D14&gt;5,0,1)</f>
        <v>1</v>
      </c>
      <c r="F14" s="4">
        <f>F13+E14</f>
        <v>4</v>
      </c>
      <c r="G14" s="27">
        <f t="shared" si="1"/>
        <v>140000</v>
      </c>
      <c r="H14" s="65">
        <v>27226.49</v>
      </c>
      <c r="I14" s="39">
        <f t="shared" si="7"/>
        <v>45338.630000000005</v>
      </c>
      <c r="J14" s="29">
        <f t="shared" si="2"/>
        <v>0.32384735714285717</v>
      </c>
      <c r="K14" s="68">
        <v>14</v>
      </c>
      <c r="L14" s="69">
        <v>4916.78</v>
      </c>
      <c r="M14" s="69">
        <v>16395.71</v>
      </c>
      <c r="N14" s="69">
        <v>1151.92</v>
      </c>
      <c r="O14" s="69">
        <v>0</v>
      </c>
      <c r="P14" s="69">
        <v>0</v>
      </c>
      <c r="Q14" s="69">
        <v>2075.04</v>
      </c>
      <c r="R14" s="69">
        <v>0</v>
      </c>
      <c r="S14" s="33">
        <f>IF(SUM(L14:R14)=0,0,SUM(L14:R14))</f>
        <v>24539.449999999997</v>
      </c>
      <c r="T14" s="39">
        <f>IF(SUM(S14,T13)="","",SUM(S14,T13))</f>
        <v>79815.23</v>
      </c>
      <c r="U14" s="34">
        <f t="shared" si="8"/>
        <v>0.57010878571428569</v>
      </c>
      <c r="V14" s="76">
        <f t="shared" si="4"/>
        <v>1752.8178571428568</v>
      </c>
      <c r="W14" s="86">
        <f t="shared" si="12"/>
        <v>64414.499999999985</v>
      </c>
    </row>
    <row r="15" spans="2:32" ht="20.25" customHeight="1">
      <c r="B15" s="15">
        <f>B14+1</f>
        <v>46087</v>
      </c>
      <c r="C15" s="6" t="str">
        <f t="shared" si="5"/>
        <v>sex</v>
      </c>
      <c r="D15" s="6">
        <v>5</v>
      </c>
      <c r="E15" s="6">
        <f t="shared" si="6"/>
        <v>1</v>
      </c>
      <c r="F15" s="4">
        <f>F14+E15</f>
        <v>5</v>
      </c>
      <c r="G15" s="27">
        <f t="shared" si="1"/>
        <v>175000</v>
      </c>
      <c r="H15" s="65">
        <v>20134.55</v>
      </c>
      <c r="I15" s="39">
        <f t="shared" si="7"/>
        <v>65473.180000000008</v>
      </c>
      <c r="J15" s="29">
        <f t="shared" si="2"/>
        <v>0.3741324571428572</v>
      </c>
      <c r="K15" s="68">
        <v>3</v>
      </c>
      <c r="L15" s="69">
        <v>5512.68</v>
      </c>
      <c r="M15" s="69">
        <v>0</v>
      </c>
      <c r="N15" s="69">
        <v>0</v>
      </c>
      <c r="O15" s="69">
        <v>0</v>
      </c>
      <c r="P15" s="69">
        <v>103081.5</v>
      </c>
      <c r="Q15" s="69">
        <v>3853.33</v>
      </c>
      <c r="R15" s="69">
        <v>0</v>
      </c>
      <c r="S15" s="33">
        <f>IF(SUM(L15:R15)=0,0,SUM(L15:R15))</f>
        <v>112447.51</v>
      </c>
      <c r="T15" s="39">
        <f>IF(SUM(S15,T14)="","",SUM(S15,T14))</f>
        <v>192262.74</v>
      </c>
      <c r="U15" s="34">
        <f t="shared" si="8"/>
        <v>1.0986442285714286</v>
      </c>
      <c r="V15" s="76">
        <f t="shared" si="4"/>
        <v>37482.503333333334</v>
      </c>
      <c r="W15" s="86">
        <f t="shared" si="12"/>
        <v>156727.46</v>
      </c>
    </row>
    <row r="16" spans="2:32" ht="20.25" customHeight="1">
      <c r="B16" s="15">
        <f t="shared" si="9"/>
        <v>46088</v>
      </c>
      <c r="C16" s="6" t="str">
        <f t="shared" si="5"/>
        <v>sáb</v>
      </c>
      <c r="D16" s="6">
        <v>6</v>
      </c>
      <c r="E16" s="6">
        <f t="shared" si="6"/>
        <v>0</v>
      </c>
      <c r="F16" s="4">
        <f t="shared" ref="F16:F20" si="13">F15+E16</f>
        <v>5</v>
      </c>
      <c r="G16" s="27">
        <f t="shared" si="1"/>
        <v>175000</v>
      </c>
      <c r="H16" s="65"/>
      <c r="I16" s="39">
        <f t="shared" si="7"/>
        <v>65473.180000000008</v>
      </c>
      <c r="J16" s="29">
        <f t="shared" si="2"/>
        <v>0.3741324571428572</v>
      </c>
      <c r="K16" s="68"/>
      <c r="L16" s="69"/>
      <c r="M16" s="69"/>
      <c r="N16" s="69"/>
      <c r="O16" s="69"/>
      <c r="P16" s="69"/>
      <c r="Q16" s="69"/>
      <c r="R16" s="69"/>
      <c r="S16" s="33">
        <f t="shared" si="3"/>
        <v>0</v>
      </c>
      <c r="T16" s="39">
        <f t="shared" si="11"/>
        <v>192262.74</v>
      </c>
      <c r="U16" s="34">
        <f t="shared" si="8"/>
        <v>1.0986442285714286</v>
      </c>
      <c r="V16" s="76" t="str">
        <f t="shared" si="4"/>
        <v/>
      </c>
      <c r="W16" s="86">
        <f t="shared" si="12"/>
        <v>156727.46</v>
      </c>
    </row>
    <row r="17" spans="2:23" ht="20.25" customHeight="1">
      <c r="B17" s="15">
        <f t="shared" si="9"/>
        <v>46089</v>
      </c>
      <c r="C17" s="6" t="str">
        <f t="shared" si="5"/>
        <v>dom</v>
      </c>
      <c r="D17" s="6">
        <v>7</v>
      </c>
      <c r="E17" s="6">
        <f t="shared" si="6"/>
        <v>0</v>
      </c>
      <c r="F17" s="4">
        <f t="shared" si="13"/>
        <v>5</v>
      </c>
      <c r="G17" s="27">
        <f t="shared" si="1"/>
        <v>175000</v>
      </c>
      <c r="H17" s="65"/>
      <c r="I17" s="39">
        <f t="shared" si="7"/>
        <v>65473.180000000008</v>
      </c>
      <c r="J17" s="29">
        <f t="shared" si="2"/>
        <v>0.3741324571428572</v>
      </c>
      <c r="K17" s="68"/>
      <c r="L17" s="69"/>
      <c r="M17" s="69"/>
      <c r="N17" s="69"/>
      <c r="O17" s="69"/>
      <c r="P17" s="69"/>
      <c r="Q17" s="69"/>
      <c r="R17" s="69"/>
      <c r="S17" s="33">
        <f t="shared" si="3"/>
        <v>0</v>
      </c>
      <c r="T17" s="39">
        <f t="shared" si="11"/>
        <v>192262.74</v>
      </c>
      <c r="U17" s="34">
        <f t="shared" si="8"/>
        <v>1.0986442285714286</v>
      </c>
      <c r="V17" s="76" t="str">
        <f t="shared" si="4"/>
        <v/>
      </c>
      <c r="W17" s="86">
        <f t="shared" si="12"/>
        <v>156727.46</v>
      </c>
    </row>
    <row r="18" spans="2:23" ht="20.25" customHeight="1">
      <c r="B18" s="15">
        <f t="shared" si="9"/>
        <v>46090</v>
      </c>
      <c r="C18" s="6" t="str">
        <f t="shared" si="5"/>
        <v>seg</v>
      </c>
      <c r="D18" s="6">
        <v>1</v>
      </c>
      <c r="E18" s="6">
        <f t="shared" si="6"/>
        <v>1</v>
      </c>
      <c r="F18" s="4">
        <f t="shared" si="13"/>
        <v>6</v>
      </c>
      <c r="G18" s="27">
        <f t="shared" si="1"/>
        <v>210000</v>
      </c>
      <c r="H18" s="65">
        <v>120069</v>
      </c>
      <c r="I18" s="39">
        <f t="shared" si="7"/>
        <v>185542.18</v>
      </c>
      <c r="J18" s="29">
        <f t="shared" si="2"/>
        <v>0.88353419047619042</v>
      </c>
      <c r="K18" s="68">
        <v>10</v>
      </c>
      <c r="L18" s="69">
        <v>5137.22</v>
      </c>
      <c r="M18" s="69">
        <v>17856.71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33">
        <f t="shared" si="3"/>
        <v>22993.93</v>
      </c>
      <c r="T18" s="39">
        <f t="shared" si="11"/>
        <v>215256.66999999998</v>
      </c>
      <c r="U18" s="34">
        <f t="shared" si="8"/>
        <v>1.0250317619047618</v>
      </c>
      <c r="V18" s="76">
        <f t="shared" si="4"/>
        <v>2299.393</v>
      </c>
      <c r="W18" s="86">
        <f t="shared" si="12"/>
        <v>59652.389999999985</v>
      </c>
    </row>
    <row r="19" spans="2:23" ht="20.25" customHeight="1">
      <c r="B19" s="15">
        <f t="shared" si="9"/>
        <v>46091</v>
      </c>
      <c r="C19" s="6" t="str">
        <f t="shared" si="5"/>
        <v>ter</v>
      </c>
      <c r="D19" s="6">
        <v>2</v>
      </c>
      <c r="E19" s="6">
        <f t="shared" si="6"/>
        <v>1</v>
      </c>
      <c r="F19" s="4">
        <f t="shared" si="13"/>
        <v>7</v>
      </c>
      <c r="G19" s="27">
        <f t="shared" si="1"/>
        <v>245000</v>
      </c>
      <c r="H19" s="65">
        <v>0</v>
      </c>
      <c r="I19" s="39">
        <f t="shared" si="7"/>
        <v>185542.18</v>
      </c>
      <c r="J19" s="29">
        <f t="shared" si="2"/>
        <v>0.75731502040816323</v>
      </c>
      <c r="K19" s="68">
        <v>10</v>
      </c>
      <c r="L19" s="69">
        <v>12177.45</v>
      </c>
      <c r="M19" s="69">
        <v>11705.9</v>
      </c>
      <c r="N19" s="69">
        <v>1507.4</v>
      </c>
      <c r="O19" s="69">
        <v>0</v>
      </c>
      <c r="P19" s="69">
        <v>0</v>
      </c>
      <c r="Q19" s="69">
        <v>2504.94</v>
      </c>
      <c r="R19" s="69">
        <v>0</v>
      </c>
      <c r="S19" s="33">
        <f t="shared" si="3"/>
        <v>27895.69</v>
      </c>
      <c r="T19" s="39">
        <f t="shared" si="11"/>
        <v>243152.36</v>
      </c>
      <c r="U19" s="34">
        <f t="shared" si="8"/>
        <v>0.99245861224489795</v>
      </c>
      <c r="V19" s="76">
        <f t="shared" si="4"/>
        <v>2789.569</v>
      </c>
      <c r="W19" s="86">
        <f t="shared" si="12"/>
        <v>87548.079999999987</v>
      </c>
    </row>
    <row r="20" spans="2:23" ht="20.25" customHeight="1">
      <c r="B20" s="15">
        <f t="shared" si="9"/>
        <v>46092</v>
      </c>
      <c r="C20" s="6" t="str">
        <f t="shared" si="5"/>
        <v>qua</v>
      </c>
      <c r="D20" s="6">
        <v>3</v>
      </c>
      <c r="E20" s="6">
        <f t="shared" si="6"/>
        <v>1</v>
      </c>
      <c r="F20" s="4">
        <f t="shared" si="13"/>
        <v>8</v>
      </c>
      <c r="G20" s="27">
        <f t="shared" si="1"/>
        <v>280000</v>
      </c>
      <c r="H20" s="65">
        <v>13018.77</v>
      </c>
      <c r="I20" s="39">
        <f t="shared" si="7"/>
        <v>198560.94999999998</v>
      </c>
      <c r="J20" s="29">
        <f t="shared" si="2"/>
        <v>0.70914624999999998</v>
      </c>
      <c r="K20" s="70">
        <v>11</v>
      </c>
      <c r="L20" s="71">
        <v>0</v>
      </c>
      <c r="M20" s="71">
        <v>58804.14</v>
      </c>
      <c r="N20" s="71">
        <v>4536.8500000000004</v>
      </c>
      <c r="O20" s="71">
        <v>0</v>
      </c>
      <c r="P20" s="71">
        <v>0</v>
      </c>
      <c r="Q20" s="71">
        <v>0</v>
      </c>
      <c r="R20" s="71">
        <v>0</v>
      </c>
      <c r="S20" s="33">
        <f t="shared" si="3"/>
        <v>63340.99</v>
      </c>
      <c r="T20" s="39">
        <f t="shared" si="11"/>
        <v>306493.34999999998</v>
      </c>
      <c r="U20" s="34">
        <f t="shared" si="8"/>
        <v>1.094619107142857</v>
      </c>
      <c r="V20" s="76">
        <f t="shared" si="4"/>
        <v>5758.2718181818182</v>
      </c>
      <c r="W20" s="86">
        <f t="shared" si="12"/>
        <v>137870.29999999999</v>
      </c>
    </row>
    <row r="21" spans="2:23" ht="20.25" customHeight="1">
      <c r="B21" s="15">
        <f t="shared" si="9"/>
        <v>46093</v>
      </c>
      <c r="C21" s="6" t="str">
        <f t="shared" si="5"/>
        <v>qui</v>
      </c>
      <c r="D21" s="6">
        <v>4</v>
      </c>
      <c r="E21" s="6">
        <f t="shared" si="6"/>
        <v>1</v>
      </c>
      <c r="F21" s="4">
        <f t="shared" ref="F21:F39" si="14">E21+F20</f>
        <v>9</v>
      </c>
      <c r="G21" s="27">
        <f t="shared" si="1"/>
        <v>315000</v>
      </c>
      <c r="H21" s="65">
        <v>35568.699999999997</v>
      </c>
      <c r="I21" s="39">
        <f t="shared" si="7"/>
        <v>234129.64999999997</v>
      </c>
      <c r="J21" s="29">
        <f t="shared" si="2"/>
        <v>0.74326873015873007</v>
      </c>
      <c r="K21" s="70">
        <v>20</v>
      </c>
      <c r="L21" s="71">
        <f>6638.59</f>
        <v>6638.59</v>
      </c>
      <c r="M21" s="71">
        <v>13714.39</v>
      </c>
      <c r="N21" s="71">
        <v>7050.61</v>
      </c>
      <c r="O21" s="71">
        <v>2699.81</v>
      </c>
      <c r="P21" s="71">
        <v>0</v>
      </c>
      <c r="Q21" s="71">
        <v>0</v>
      </c>
      <c r="R21" s="71">
        <v>0</v>
      </c>
      <c r="S21" s="33">
        <f t="shared" si="3"/>
        <v>30103.4</v>
      </c>
      <c r="T21" s="39">
        <f t="shared" si="11"/>
        <v>336596.75</v>
      </c>
      <c r="U21" s="34">
        <f t="shared" si="8"/>
        <v>1.0685611111111111</v>
      </c>
      <c r="V21" s="76">
        <f t="shared" si="4"/>
        <v>1505.17</v>
      </c>
      <c r="W21" s="86">
        <f t="shared" si="12"/>
        <v>132405</v>
      </c>
    </row>
    <row r="22" spans="2:23" ht="20.25" customHeight="1">
      <c r="B22" s="15">
        <f t="shared" si="9"/>
        <v>46094</v>
      </c>
      <c r="C22" s="6" t="str">
        <f t="shared" si="5"/>
        <v>sex</v>
      </c>
      <c r="D22" s="6">
        <v>5</v>
      </c>
      <c r="E22" s="6">
        <f t="shared" si="6"/>
        <v>1</v>
      </c>
      <c r="F22" s="4">
        <f t="shared" si="14"/>
        <v>10</v>
      </c>
      <c r="G22" s="27">
        <f t="shared" si="1"/>
        <v>350000</v>
      </c>
      <c r="H22" s="65">
        <v>113500.09</v>
      </c>
      <c r="I22" s="39">
        <f t="shared" si="7"/>
        <v>347629.74</v>
      </c>
      <c r="J22" s="29">
        <f t="shared" si="2"/>
        <v>0.99322782857142855</v>
      </c>
      <c r="K22" s="70">
        <v>8</v>
      </c>
      <c r="L22" s="71">
        <v>1298.4000000000001</v>
      </c>
      <c r="M22" s="71">
        <v>15050.56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33">
        <f t="shared" si="3"/>
        <v>16348.96</v>
      </c>
      <c r="T22" s="39">
        <f t="shared" si="11"/>
        <v>352945.71</v>
      </c>
      <c r="U22" s="34">
        <f t="shared" si="8"/>
        <v>1.0084163142857143</v>
      </c>
      <c r="V22" s="76">
        <f t="shared" si="4"/>
        <v>2043.62</v>
      </c>
      <c r="W22" s="86">
        <f t="shared" si="12"/>
        <v>35253.869999999995</v>
      </c>
    </row>
    <row r="23" spans="2:23" ht="20.25" customHeight="1">
      <c r="B23" s="15">
        <f t="shared" si="9"/>
        <v>46095</v>
      </c>
      <c r="C23" s="6" t="str">
        <f t="shared" si="5"/>
        <v>sáb</v>
      </c>
      <c r="D23" s="6">
        <v>6</v>
      </c>
      <c r="E23" s="6">
        <f t="shared" si="6"/>
        <v>0</v>
      </c>
      <c r="F23" s="4">
        <f t="shared" si="14"/>
        <v>10</v>
      </c>
      <c r="G23" s="27">
        <f t="shared" si="1"/>
        <v>350000</v>
      </c>
      <c r="H23" s="65"/>
      <c r="I23" s="39">
        <f t="shared" si="7"/>
        <v>347629.74</v>
      </c>
      <c r="J23" s="29">
        <f t="shared" si="2"/>
        <v>0.99322782857142855</v>
      </c>
      <c r="K23" s="71"/>
      <c r="L23" s="71"/>
      <c r="M23" s="71"/>
      <c r="N23" s="71"/>
      <c r="O23" s="71"/>
      <c r="P23" s="71"/>
      <c r="Q23" s="71"/>
      <c r="R23" s="71"/>
      <c r="S23" s="33">
        <f t="shared" si="3"/>
        <v>0</v>
      </c>
      <c r="T23" s="39">
        <f t="shared" si="11"/>
        <v>352945.71</v>
      </c>
      <c r="U23" s="34">
        <f t="shared" si="8"/>
        <v>1.0084163142857143</v>
      </c>
      <c r="V23" s="76" t="str">
        <f t="shared" ref="V23:V29" si="15">IF(K23="","",S23/K23)</f>
        <v/>
      </c>
      <c r="W23" s="86">
        <f t="shared" si="12"/>
        <v>35253.869999999995</v>
      </c>
    </row>
    <row r="24" spans="2:23" ht="20.25" customHeight="1">
      <c r="B24" s="15">
        <f>B23+1</f>
        <v>46096</v>
      </c>
      <c r="C24" s="6" t="str">
        <f t="shared" si="5"/>
        <v>dom</v>
      </c>
      <c r="D24" s="6">
        <v>7</v>
      </c>
      <c r="E24" s="6">
        <f t="shared" si="6"/>
        <v>0</v>
      </c>
      <c r="F24" s="4">
        <f>E24+F23</f>
        <v>10</v>
      </c>
      <c r="G24" s="27">
        <f t="shared" si="1"/>
        <v>350000</v>
      </c>
      <c r="H24" s="65"/>
      <c r="I24" s="39">
        <f t="shared" si="7"/>
        <v>347629.74</v>
      </c>
      <c r="J24" s="29">
        <f t="shared" si="2"/>
        <v>0.99322782857142855</v>
      </c>
      <c r="K24" s="70"/>
      <c r="L24" s="71"/>
      <c r="M24" s="71"/>
      <c r="N24" s="71"/>
      <c r="O24" s="71"/>
      <c r="P24" s="71"/>
      <c r="Q24" s="71"/>
      <c r="R24" s="71"/>
      <c r="S24" s="33">
        <f t="shared" si="3"/>
        <v>0</v>
      </c>
      <c r="T24" s="39">
        <f t="shared" si="11"/>
        <v>352945.71</v>
      </c>
      <c r="U24" s="34">
        <f t="shared" si="8"/>
        <v>1.0084163142857143</v>
      </c>
      <c r="V24" s="76" t="str">
        <f t="shared" si="15"/>
        <v/>
      </c>
      <c r="W24" s="86">
        <f t="shared" si="12"/>
        <v>35253.869999999995</v>
      </c>
    </row>
    <row r="25" spans="2:23" ht="20.25" customHeight="1">
      <c r="B25" s="15">
        <f>B24+1</f>
        <v>46097</v>
      </c>
      <c r="C25" s="6" t="str">
        <f t="shared" si="5"/>
        <v>seg</v>
      </c>
      <c r="D25" s="6">
        <v>1</v>
      </c>
      <c r="E25" s="6">
        <f t="shared" si="6"/>
        <v>1</v>
      </c>
      <c r="F25" s="4">
        <f>E25+F24</f>
        <v>11</v>
      </c>
      <c r="G25" s="27">
        <f t="shared" si="1"/>
        <v>385000</v>
      </c>
      <c r="H25" s="65">
        <v>0</v>
      </c>
      <c r="I25" s="39">
        <f t="shared" si="7"/>
        <v>347629.74</v>
      </c>
      <c r="J25" s="29">
        <f t="shared" si="2"/>
        <v>0.90293438961038963</v>
      </c>
      <c r="K25" s="70">
        <v>13</v>
      </c>
      <c r="L25" s="71">
        <v>25015</v>
      </c>
      <c r="M25" s="71">
        <v>9658.5400000000009</v>
      </c>
      <c r="N25" s="71">
        <v>2271.56</v>
      </c>
      <c r="O25" s="71">
        <v>0</v>
      </c>
      <c r="P25" s="71">
        <v>0</v>
      </c>
      <c r="Q25" s="71">
        <v>0</v>
      </c>
      <c r="R25" s="71">
        <v>0</v>
      </c>
      <c r="S25" s="33">
        <f>IF(SUM(L25:R25)=0,0,SUM(L25:R25))</f>
        <v>36945.1</v>
      </c>
      <c r="T25" s="39">
        <f t="shared" si="11"/>
        <v>389890.81</v>
      </c>
      <c r="U25" s="34">
        <f t="shared" si="8"/>
        <v>1.0127034025974027</v>
      </c>
      <c r="V25" s="76">
        <f t="shared" si="15"/>
        <v>2841.9307692307693</v>
      </c>
      <c r="W25" s="86">
        <f t="shared" si="12"/>
        <v>72198.97</v>
      </c>
    </row>
    <row r="26" spans="2:23" ht="20.25" customHeight="1">
      <c r="B26" s="15">
        <f t="shared" si="9"/>
        <v>46098</v>
      </c>
      <c r="C26" s="6" t="str">
        <f t="shared" si="5"/>
        <v>ter</v>
      </c>
      <c r="D26" s="6">
        <v>2</v>
      </c>
      <c r="E26" s="6">
        <f t="shared" si="6"/>
        <v>1</v>
      </c>
      <c r="F26" s="4">
        <f>E26+F25</f>
        <v>12</v>
      </c>
      <c r="G26" s="27">
        <f t="shared" si="1"/>
        <v>420000</v>
      </c>
      <c r="H26" s="65">
        <v>8094.46</v>
      </c>
      <c r="I26" s="39">
        <f t="shared" si="7"/>
        <v>355724.2</v>
      </c>
      <c r="J26" s="29">
        <f t="shared" si="2"/>
        <v>0.84696238095238097</v>
      </c>
      <c r="K26" s="70">
        <v>2</v>
      </c>
      <c r="L26" s="71">
        <v>0</v>
      </c>
      <c r="M26" s="71">
        <v>1668.24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33">
        <f t="shared" si="3"/>
        <v>1668.24</v>
      </c>
      <c r="T26" s="39">
        <f t="shared" si="11"/>
        <v>391559.05</v>
      </c>
      <c r="U26" s="34">
        <f t="shared" si="8"/>
        <v>0.93228345238095234</v>
      </c>
      <c r="V26" s="76">
        <f t="shared" si="15"/>
        <v>834.12</v>
      </c>
      <c r="W26" s="86">
        <f t="shared" si="12"/>
        <v>65772.75</v>
      </c>
    </row>
    <row r="27" spans="2:23" ht="20.25" customHeight="1">
      <c r="B27" s="15">
        <f t="shared" si="9"/>
        <v>46099</v>
      </c>
      <c r="C27" s="6" t="str">
        <f t="shared" si="5"/>
        <v>qua</v>
      </c>
      <c r="D27" s="6">
        <v>3</v>
      </c>
      <c r="E27" s="6">
        <f t="shared" si="6"/>
        <v>1</v>
      </c>
      <c r="F27" s="4">
        <f t="shared" si="14"/>
        <v>13</v>
      </c>
      <c r="G27" s="27">
        <f t="shared" si="1"/>
        <v>455000</v>
      </c>
      <c r="H27" s="65">
        <v>24789.42</v>
      </c>
      <c r="I27" s="39">
        <f t="shared" si="7"/>
        <v>380513.62</v>
      </c>
      <c r="J27" s="29">
        <f t="shared" si="2"/>
        <v>0.83629367032967028</v>
      </c>
      <c r="K27" s="70">
        <v>8</v>
      </c>
      <c r="L27" s="71">
        <v>26975.16</v>
      </c>
      <c r="M27" s="71">
        <v>4208.76</v>
      </c>
      <c r="N27" s="71">
        <v>950.11</v>
      </c>
      <c r="O27" s="71">
        <v>835.65</v>
      </c>
      <c r="P27" s="71">
        <v>0</v>
      </c>
      <c r="Q27" s="71">
        <v>0</v>
      </c>
      <c r="R27" s="71">
        <v>0</v>
      </c>
      <c r="S27" s="33">
        <f t="shared" si="3"/>
        <v>32969.68</v>
      </c>
      <c r="T27" s="39">
        <f t="shared" si="11"/>
        <v>424528.73</v>
      </c>
      <c r="U27" s="34">
        <f t="shared" si="8"/>
        <v>0.9330301758241758</v>
      </c>
      <c r="V27" s="76">
        <f t="shared" si="15"/>
        <v>4121.21</v>
      </c>
      <c r="W27" s="86">
        <f t="shared" si="12"/>
        <v>73953.009999999995</v>
      </c>
    </row>
    <row r="28" spans="2:23" ht="20.25" customHeight="1">
      <c r="B28" s="15">
        <f t="shared" si="9"/>
        <v>46100</v>
      </c>
      <c r="C28" s="6" t="str">
        <f t="shared" si="5"/>
        <v>qui</v>
      </c>
      <c r="D28" s="6">
        <v>4</v>
      </c>
      <c r="E28" s="6">
        <f t="shared" si="6"/>
        <v>1</v>
      </c>
      <c r="F28" s="4">
        <f t="shared" si="14"/>
        <v>14</v>
      </c>
      <c r="G28" s="27">
        <f t="shared" si="1"/>
        <v>490000</v>
      </c>
      <c r="H28" s="65">
        <v>4314.66</v>
      </c>
      <c r="I28" s="39">
        <f t="shared" si="7"/>
        <v>384828.27999999997</v>
      </c>
      <c r="J28" s="29">
        <f t="shared" si="2"/>
        <v>0.78536383673469379</v>
      </c>
      <c r="K28" s="70">
        <v>9</v>
      </c>
      <c r="L28" s="71">
        <v>10244.219999999999</v>
      </c>
      <c r="M28" s="71">
        <v>3862.52</v>
      </c>
      <c r="N28" s="71">
        <v>3299.84</v>
      </c>
      <c r="O28" s="71">
        <v>0</v>
      </c>
      <c r="P28" s="71">
        <v>0</v>
      </c>
      <c r="Q28" s="71">
        <v>0</v>
      </c>
      <c r="R28" s="71">
        <v>0</v>
      </c>
      <c r="S28" s="33">
        <f t="shared" si="3"/>
        <v>17406.580000000002</v>
      </c>
      <c r="T28" s="39">
        <f t="shared" si="11"/>
        <v>441935.31</v>
      </c>
      <c r="U28" s="34">
        <f t="shared" si="8"/>
        <v>0.90190879591836737</v>
      </c>
      <c r="V28" s="76">
        <f t="shared" si="15"/>
        <v>1934.0644444444447</v>
      </c>
      <c r="W28" s="86">
        <f t="shared" si="12"/>
        <v>87044.93</v>
      </c>
    </row>
    <row r="29" spans="2:23" ht="20.25" customHeight="1">
      <c r="B29" s="15">
        <f t="shared" si="9"/>
        <v>46101</v>
      </c>
      <c r="C29" s="6" t="str">
        <f t="shared" si="5"/>
        <v>sex</v>
      </c>
      <c r="D29" s="6">
        <v>5</v>
      </c>
      <c r="E29" s="6">
        <f t="shared" si="6"/>
        <v>1</v>
      </c>
      <c r="F29" s="4">
        <f t="shared" si="14"/>
        <v>15</v>
      </c>
      <c r="G29" s="27">
        <f t="shared" si="1"/>
        <v>525000</v>
      </c>
      <c r="H29" s="65">
        <v>836.7</v>
      </c>
      <c r="I29" s="39">
        <f t="shared" si="7"/>
        <v>385664.98</v>
      </c>
      <c r="J29" s="29">
        <f t="shared" si="2"/>
        <v>0.73459996190476184</v>
      </c>
      <c r="K29" s="70">
        <v>8</v>
      </c>
      <c r="L29" s="71">
        <v>6134.56</v>
      </c>
      <c r="M29" s="71">
        <v>6750.2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33">
        <f t="shared" si="3"/>
        <v>12884.76</v>
      </c>
      <c r="T29" s="39">
        <f t="shared" si="11"/>
        <v>454820.07</v>
      </c>
      <c r="U29" s="34">
        <f t="shared" si="8"/>
        <v>0.86632394285714287</v>
      </c>
      <c r="V29" s="76">
        <f t="shared" si="15"/>
        <v>1610.595</v>
      </c>
      <c r="W29" s="86">
        <f t="shared" si="12"/>
        <v>99092.989999999991</v>
      </c>
    </row>
    <row r="30" spans="2:23" ht="20.25" customHeight="1">
      <c r="B30" s="15">
        <f t="shared" si="9"/>
        <v>46102</v>
      </c>
      <c r="C30" s="6" t="str">
        <f t="shared" si="5"/>
        <v>sáb</v>
      </c>
      <c r="D30" s="6">
        <v>6</v>
      </c>
      <c r="E30" s="6">
        <f t="shared" si="6"/>
        <v>0</v>
      </c>
      <c r="F30" s="4">
        <f t="shared" si="14"/>
        <v>15</v>
      </c>
      <c r="G30" s="27">
        <f t="shared" si="1"/>
        <v>525000</v>
      </c>
      <c r="H30" s="65"/>
      <c r="I30" s="39">
        <f t="shared" si="7"/>
        <v>385664.98</v>
      </c>
      <c r="J30" s="29">
        <f t="shared" si="2"/>
        <v>0.73459996190476184</v>
      </c>
      <c r="K30" s="70"/>
      <c r="L30" s="71"/>
      <c r="M30" s="71"/>
      <c r="N30" s="71"/>
      <c r="O30" s="71"/>
      <c r="P30" s="71"/>
      <c r="Q30" s="71"/>
      <c r="R30" s="71"/>
      <c r="S30" s="33">
        <f t="shared" si="3"/>
        <v>0</v>
      </c>
      <c r="T30" s="39">
        <f t="shared" si="11"/>
        <v>454820.07</v>
      </c>
      <c r="U30" s="34">
        <f t="shared" si="8"/>
        <v>0.86632394285714287</v>
      </c>
      <c r="V30" s="76" t="str">
        <f t="shared" ref="V30:V40" si="16">IF(K30="","",S30/K30)</f>
        <v/>
      </c>
      <c r="W30" s="86">
        <f t="shared" si="12"/>
        <v>99092.989999999991</v>
      </c>
    </row>
    <row r="31" spans="2:23" ht="20.25" customHeight="1">
      <c r="B31" s="15">
        <f t="shared" si="9"/>
        <v>46103</v>
      </c>
      <c r="C31" s="6" t="str">
        <f t="shared" si="5"/>
        <v>dom</v>
      </c>
      <c r="D31" s="6">
        <v>7</v>
      </c>
      <c r="E31" s="6">
        <f t="shared" si="6"/>
        <v>0</v>
      </c>
      <c r="F31" s="4">
        <f t="shared" si="14"/>
        <v>15</v>
      </c>
      <c r="G31" s="27">
        <f t="shared" si="1"/>
        <v>525000</v>
      </c>
      <c r="H31" s="65"/>
      <c r="I31" s="39">
        <f t="shared" si="7"/>
        <v>385664.98</v>
      </c>
      <c r="J31" s="29">
        <f t="shared" si="2"/>
        <v>0.73459996190476184</v>
      </c>
      <c r="K31" s="70"/>
      <c r="L31" s="71"/>
      <c r="M31" s="71"/>
      <c r="N31" s="71"/>
      <c r="O31" s="71"/>
      <c r="P31" s="71"/>
      <c r="Q31" s="71"/>
      <c r="R31" s="71"/>
      <c r="S31" s="33">
        <f t="shared" si="3"/>
        <v>0</v>
      </c>
      <c r="T31" s="39">
        <f t="shared" si="11"/>
        <v>454820.07</v>
      </c>
      <c r="U31" s="34">
        <f t="shared" si="8"/>
        <v>0.86632394285714287</v>
      </c>
      <c r="V31" s="76" t="str">
        <f t="shared" si="16"/>
        <v/>
      </c>
      <c r="W31" s="86">
        <f t="shared" si="12"/>
        <v>99092.989999999991</v>
      </c>
    </row>
    <row r="32" spans="2:23" ht="20.25" customHeight="1">
      <c r="B32" s="15">
        <f>B31+1</f>
        <v>46104</v>
      </c>
      <c r="C32" s="6" t="str">
        <f t="shared" si="5"/>
        <v>seg</v>
      </c>
      <c r="D32" s="6">
        <v>1</v>
      </c>
      <c r="E32" s="6">
        <f t="shared" si="6"/>
        <v>1</v>
      </c>
      <c r="F32" s="4">
        <f>E32+F31</f>
        <v>16</v>
      </c>
      <c r="G32" s="27">
        <f t="shared" si="1"/>
        <v>560000</v>
      </c>
      <c r="H32" s="65">
        <v>4270.17</v>
      </c>
      <c r="I32" s="39">
        <f t="shared" si="7"/>
        <v>389935.14999999997</v>
      </c>
      <c r="J32" s="29">
        <f t="shared" si="2"/>
        <v>0.6963127678571428</v>
      </c>
      <c r="K32" s="70">
        <v>8</v>
      </c>
      <c r="L32" s="71">
        <v>55722.64</v>
      </c>
      <c r="M32" s="71">
        <v>7300.68</v>
      </c>
      <c r="N32" s="71">
        <v>0</v>
      </c>
      <c r="O32" s="71">
        <v>1613.42</v>
      </c>
      <c r="P32" s="71">
        <v>0</v>
      </c>
      <c r="Q32" s="71">
        <v>0</v>
      </c>
      <c r="R32" s="71">
        <v>0</v>
      </c>
      <c r="S32" s="33">
        <f t="shared" si="3"/>
        <v>64636.74</v>
      </c>
      <c r="T32" s="39">
        <f>IF(SUM(S32,T31)="","",SUM(S32,T31))</f>
        <v>519456.81</v>
      </c>
      <c r="U32" s="34">
        <f t="shared" si="8"/>
        <v>0.92760144642857145</v>
      </c>
      <c r="V32" s="76">
        <f t="shared" si="16"/>
        <v>8079.5924999999997</v>
      </c>
      <c r="W32" s="86">
        <f t="shared" si="12"/>
        <v>159459.55999999997</v>
      </c>
    </row>
    <row r="33" spans="2:25" ht="20.25" customHeight="1">
      <c r="B33" s="15">
        <f>B32+1</f>
        <v>46105</v>
      </c>
      <c r="C33" s="6" t="str">
        <f t="shared" si="5"/>
        <v>ter</v>
      </c>
      <c r="D33" s="6">
        <v>2</v>
      </c>
      <c r="E33" s="6">
        <f t="shared" si="6"/>
        <v>1</v>
      </c>
      <c r="F33" s="4">
        <f>E33+F32</f>
        <v>17</v>
      </c>
      <c r="G33" s="27">
        <f t="shared" si="1"/>
        <v>595000</v>
      </c>
      <c r="H33" s="65">
        <v>10770.15</v>
      </c>
      <c r="I33" s="39">
        <f t="shared" si="7"/>
        <v>400705.3</v>
      </c>
      <c r="J33" s="29">
        <f t="shared" si="2"/>
        <v>0.67345428571428567</v>
      </c>
      <c r="K33" s="70">
        <v>13</v>
      </c>
      <c r="L33" s="71">
        <v>0</v>
      </c>
      <c r="M33" s="71">
        <v>11567.31</v>
      </c>
      <c r="N33" s="71">
        <v>4039.63</v>
      </c>
      <c r="O33" s="71">
        <v>0</v>
      </c>
      <c r="P33" s="71">
        <v>0</v>
      </c>
      <c r="Q33" s="71">
        <v>0</v>
      </c>
      <c r="R33" s="71">
        <v>0</v>
      </c>
      <c r="S33" s="33">
        <f t="shared" si="3"/>
        <v>15606.939999999999</v>
      </c>
      <c r="T33" s="39">
        <f>IF(SUM(S33,T32)="","",SUM(S33,T32))</f>
        <v>535063.75</v>
      </c>
      <c r="U33" s="34">
        <f t="shared" si="8"/>
        <v>0.8992668067226891</v>
      </c>
      <c r="V33" s="76">
        <f t="shared" si="16"/>
        <v>1200.5338461538461</v>
      </c>
      <c r="W33" s="86">
        <f t="shared" si="12"/>
        <v>150244.42999999996</v>
      </c>
      <c r="Y33" s="79">
        <v>-14051.92</v>
      </c>
    </row>
    <row r="34" spans="2:25" ht="20.25" customHeight="1">
      <c r="B34" s="15">
        <f t="shared" si="9"/>
        <v>46106</v>
      </c>
      <c r="C34" s="6" t="str">
        <f t="shared" si="5"/>
        <v>qua</v>
      </c>
      <c r="D34" s="6">
        <v>3</v>
      </c>
      <c r="E34" s="6">
        <f t="shared" si="6"/>
        <v>1</v>
      </c>
      <c r="F34" s="4">
        <f t="shared" si="14"/>
        <v>18</v>
      </c>
      <c r="G34" s="27">
        <f t="shared" si="1"/>
        <v>630000</v>
      </c>
      <c r="H34" s="65">
        <v>12356.85</v>
      </c>
      <c r="I34" s="39">
        <f t="shared" si="7"/>
        <v>413062.14999999997</v>
      </c>
      <c r="J34" s="29">
        <f t="shared" si="2"/>
        <v>0.65565420634920635</v>
      </c>
      <c r="K34" s="70">
        <v>15</v>
      </c>
      <c r="L34" s="71">
        <v>950.11</v>
      </c>
      <c r="M34" s="71">
        <v>23699.5</v>
      </c>
      <c r="N34" s="71">
        <v>1695.45</v>
      </c>
      <c r="O34" s="71">
        <v>1198.25</v>
      </c>
      <c r="P34" s="71">
        <v>0</v>
      </c>
      <c r="Q34" s="71">
        <v>0</v>
      </c>
      <c r="R34" s="71">
        <v>0</v>
      </c>
      <c r="S34" s="33">
        <f t="shared" si="3"/>
        <v>27543.31</v>
      </c>
      <c r="T34" s="39">
        <f>IF(SUM(S34,T33)="","",SUM(S34,T33))</f>
        <v>562607.06000000006</v>
      </c>
      <c r="U34" s="34">
        <f t="shared" si="8"/>
        <v>0.89302707936507941</v>
      </c>
      <c r="V34" s="76">
        <f t="shared" si="16"/>
        <v>1836.2206666666668</v>
      </c>
      <c r="W34" s="86">
        <f t="shared" si="12"/>
        <v>165430.88999999996</v>
      </c>
    </row>
    <row r="35" spans="2:25" ht="20.25" customHeight="1">
      <c r="B35" s="15">
        <f t="shared" si="9"/>
        <v>46107</v>
      </c>
      <c r="C35" s="6" t="str">
        <f t="shared" si="5"/>
        <v>qui</v>
      </c>
      <c r="D35" s="6">
        <v>4</v>
      </c>
      <c r="E35" s="6">
        <f t="shared" si="6"/>
        <v>1</v>
      </c>
      <c r="F35" s="4">
        <f t="shared" si="14"/>
        <v>19</v>
      </c>
      <c r="G35" s="27">
        <f t="shared" si="1"/>
        <v>665000</v>
      </c>
      <c r="H35" s="65">
        <v>10213.959999999999</v>
      </c>
      <c r="I35" s="39">
        <f t="shared" si="7"/>
        <v>423276.11</v>
      </c>
      <c r="J35" s="29">
        <f t="shared" si="2"/>
        <v>0.63650542857142856</v>
      </c>
      <c r="K35" s="70">
        <v>16</v>
      </c>
      <c r="L35" s="71">
        <f>13192.72-748.77</f>
        <v>12443.949999999999</v>
      </c>
      <c r="M35" s="71">
        <v>29093.42</v>
      </c>
      <c r="N35" s="71">
        <v>1271.25</v>
      </c>
      <c r="O35" s="71">
        <v>0</v>
      </c>
      <c r="P35" s="71">
        <v>0</v>
      </c>
      <c r="Q35" s="71">
        <v>0</v>
      </c>
      <c r="R35" s="71">
        <v>0</v>
      </c>
      <c r="S35" s="33">
        <f t="shared" si="3"/>
        <v>42808.619999999995</v>
      </c>
      <c r="T35" s="39">
        <f t="shared" si="11"/>
        <v>605415.68000000005</v>
      </c>
      <c r="U35" s="34">
        <f t="shared" si="8"/>
        <v>0.91039951879699255</v>
      </c>
      <c r="V35" s="76">
        <f t="shared" si="16"/>
        <v>2675.5387499999997</v>
      </c>
      <c r="W35" s="86">
        <f t="shared" si="12"/>
        <v>198025.54999999996</v>
      </c>
    </row>
    <row r="36" spans="2:25" ht="20.25" customHeight="1">
      <c r="B36" s="15">
        <f t="shared" si="9"/>
        <v>46108</v>
      </c>
      <c r="C36" s="6" t="str">
        <f t="shared" si="5"/>
        <v>sex</v>
      </c>
      <c r="D36" s="6">
        <v>5</v>
      </c>
      <c r="E36" s="6">
        <f t="shared" si="6"/>
        <v>1</v>
      </c>
      <c r="F36" s="4">
        <f t="shared" si="14"/>
        <v>20</v>
      </c>
      <c r="G36" s="27">
        <f t="shared" si="1"/>
        <v>700000</v>
      </c>
      <c r="H36" s="65">
        <v>86338.11</v>
      </c>
      <c r="I36" s="39">
        <f t="shared" si="7"/>
        <v>509614.22</v>
      </c>
      <c r="J36" s="29">
        <f t="shared" si="2"/>
        <v>0.72802031428571423</v>
      </c>
      <c r="K36" s="70">
        <v>9</v>
      </c>
      <c r="L36" s="71">
        <v>923.05</v>
      </c>
      <c r="M36" s="71">
        <v>18832.759999999998</v>
      </c>
      <c r="N36" s="71">
        <v>7326.25</v>
      </c>
      <c r="O36" s="71">
        <v>983.9</v>
      </c>
      <c r="P36" s="71">
        <v>0</v>
      </c>
      <c r="Q36" s="71">
        <v>0</v>
      </c>
      <c r="R36" s="71">
        <v>0</v>
      </c>
      <c r="S36" s="33">
        <f t="shared" si="3"/>
        <v>28065.96</v>
      </c>
      <c r="T36" s="39">
        <f t="shared" si="11"/>
        <v>633481.64</v>
      </c>
      <c r="U36" s="34">
        <f t="shared" si="8"/>
        <v>0.90497377142857149</v>
      </c>
      <c r="V36" s="76">
        <f t="shared" si="16"/>
        <v>3118.44</v>
      </c>
      <c r="W36" s="86">
        <f t="shared" si="12"/>
        <v>139753.39999999997</v>
      </c>
    </row>
    <row r="37" spans="2:25" ht="20.25" customHeight="1">
      <c r="B37" s="15">
        <f t="shared" si="9"/>
        <v>46109</v>
      </c>
      <c r="C37" s="6" t="str">
        <f t="shared" si="5"/>
        <v>sáb</v>
      </c>
      <c r="D37" s="6">
        <v>6</v>
      </c>
      <c r="E37" s="6">
        <f t="shared" si="6"/>
        <v>0</v>
      </c>
      <c r="F37" s="4">
        <f t="shared" si="14"/>
        <v>20</v>
      </c>
      <c r="G37" s="27">
        <f t="shared" si="1"/>
        <v>700000</v>
      </c>
      <c r="H37" s="65">
        <v>57626.1</v>
      </c>
      <c r="I37" s="39">
        <f t="shared" si="7"/>
        <v>567240.31999999995</v>
      </c>
      <c r="J37" s="29">
        <f t="shared" si="2"/>
        <v>0.81034331428571427</v>
      </c>
      <c r="K37" s="70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33">
        <f t="shared" si="3"/>
        <v>0</v>
      </c>
      <c r="T37" s="39">
        <f t="shared" si="11"/>
        <v>633481.64</v>
      </c>
      <c r="U37" s="34">
        <f t="shared" si="8"/>
        <v>0.90497377142857149</v>
      </c>
      <c r="V37" s="76" t="e">
        <f t="shared" si="16"/>
        <v>#DIV/0!</v>
      </c>
      <c r="W37" s="86">
        <f>(W36+S37-H37+Y37)</f>
        <v>82127.299999999959</v>
      </c>
    </row>
    <row r="38" spans="2:25" ht="20.25" customHeight="1">
      <c r="B38" s="15">
        <f t="shared" si="9"/>
        <v>46110</v>
      </c>
      <c r="C38" s="6" t="str">
        <f t="shared" si="5"/>
        <v>dom</v>
      </c>
      <c r="D38" s="6">
        <v>7</v>
      </c>
      <c r="E38" s="6">
        <f t="shared" si="6"/>
        <v>0</v>
      </c>
      <c r="F38" s="4">
        <f t="shared" si="14"/>
        <v>20</v>
      </c>
      <c r="G38" s="27">
        <f t="shared" si="1"/>
        <v>700000</v>
      </c>
      <c r="H38" s="65"/>
      <c r="I38" s="39">
        <f t="shared" si="7"/>
        <v>567240.31999999995</v>
      </c>
      <c r="J38" s="29">
        <f t="shared" si="2"/>
        <v>0.81034331428571427</v>
      </c>
      <c r="K38" s="70"/>
      <c r="L38" s="71"/>
      <c r="M38" s="71"/>
      <c r="N38" s="71"/>
      <c r="O38" s="71"/>
      <c r="P38" s="71"/>
      <c r="Q38" s="71"/>
      <c r="R38" s="71"/>
      <c r="S38" s="33">
        <f t="shared" si="3"/>
        <v>0</v>
      </c>
      <c r="T38" s="39">
        <f t="shared" si="11"/>
        <v>633481.64</v>
      </c>
      <c r="U38" s="34">
        <f t="shared" si="8"/>
        <v>0.90497377142857149</v>
      </c>
      <c r="V38" s="76" t="str">
        <f t="shared" si="16"/>
        <v/>
      </c>
      <c r="W38" s="86">
        <f t="shared" si="12"/>
        <v>82127.299999999959</v>
      </c>
    </row>
    <row r="39" spans="2:25" ht="20.25" customHeight="1">
      <c r="B39" s="15">
        <f t="shared" si="9"/>
        <v>46111</v>
      </c>
      <c r="C39" s="6" t="str">
        <f t="shared" si="5"/>
        <v>seg</v>
      </c>
      <c r="D39" s="6">
        <v>1</v>
      </c>
      <c r="E39" s="6">
        <f t="shared" si="6"/>
        <v>1</v>
      </c>
      <c r="F39" s="4">
        <f t="shared" si="14"/>
        <v>21</v>
      </c>
      <c r="G39" s="27">
        <f t="shared" si="1"/>
        <v>735000</v>
      </c>
      <c r="H39" s="65">
        <v>0</v>
      </c>
      <c r="I39" s="39">
        <f t="shared" si="7"/>
        <v>567240.31999999995</v>
      </c>
      <c r="J39" s="29">
        <f t="shared" si="2"/>
        <v>0.77175553741496594</v>
      </c>
      <c r="K39" s="70">
        <v>5</v>
      </c>
      <c r="L39" s="71">
        <v>1871.88</v>
      </c>
      <c r="M39" s="71">
        <v>4608.55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33">
        <f t="shared" si="3"/>
        <v>6480.43</v>
      </c>
      <c r="T39" s="39">
        <f t="shared" si="11"/>
        <v>639962.07000000007</v>
      </c>
      <c r="U39" s="34">
        <f t="shared" si="8"/>
        <v>0.87069669387755111</v>
      </c>
      <c r="V39" s="76">
        <f t="shared" si="16"/>
        <v>1296.086</v>
      </c>
      <c r="W39" s="86">
        <f t="shared" si="12"/>
        <v>88607.729999999952</v>
      </c>
    </row>
    <row r="40" spans="2:25" ht="20.25" customHeight="1">
      <c r="B40" s="16">
        <f>B39+1</f>
        <v>46112</v>
      </c>
      <c r="C40" s="17" t="str">
        <f>TEXT(B40,"ddd")</f>
        <v>ter</v>
      </c>
      <c r="D40" s="17">
        <v>2</v>
      </c>
      <c r="E40" s="17">
        <f t="shared" si="6"/>
        <v>1</v>
      </c>
      <c r="F40" s="18">
        <f>E40+F39</f>
        <v>22</v>
      </c>
      <c r="G40" s="28">
        <f>IF(F40&lt;1,"",$H$5*F40)</f>
        <v>770000</v>
      </c>
      <c r="H40" s="67">
        <v>66726</v>
      </c>
      <c r="I40" s="44">
        <f t="shared" si="7"/>
        <v>633966.31999999995</v>
      </c>
      <c r="J40" s="30">
        <f t="shared" si="2"/>
        <v>0.82333288311688302</v>
      </c>
      <c r="K40" s="72">
        <v>12</v>
      </c>
      <c r="L40" s="73">
        <v>7544.62</v>
      </c>
      <c r="M40" s="73">
        <v>26576.84</v>
      </c>
      <c r="N40" s="73">
        <v>858.76</v>
      </c>
      <c r="O40" s="73">
        <v>28030.66</v>
      </c>
      <c r="P40" s="73">
        <v>0</v>
      </c>
      <c r="Q40" s="73">
        <v>0</v>
      </c>
      <c r="R40" s="73">
        <v>0</v>
      </c>
      <c r="S40" s="37">
        <f t="shared" si="3"/>
        <v>63010.880000000005</v>
      </c>
      <c r="T40" s="44">
        <f t="shared" si="11"/>
        <v>702972.95000000007</v>
      </c>
      <c r="U40" s="78">
        <f t="shared" si="8"/>
        <v>0.91295188311688324</v>
      </c>
      <c r="V40" s="77">
        <f t="shared" si="16"/>
        <v>5250.9066666666668</v>
      </c>
      <c r="W40" s="87">
        <f t="shared" si="12"/>
        <v>84892.609999999957</v>
      </c>
    </row>
    <row r="41" spans="2:25" ht="24" customHeight="1"/>
  </sheetData>
  <mergeCells count="16">
    <mergeCell ref="U7:U9"/>
    <mergeCell ref="B2:W2"/>
    <mergeCell ref="B3:W3"/>
    <mergeCell ref="B6:B9"/>
    <mergeCell ref="C6:C9"/>
    <mergeCell ref="G6:G9"/>
    <mergeCell ref="H6:J6"/>
    <mergeCell ref="K6:U6"/>
    <mergeCell ref="V6:V9"/>
    <mergeCell ref="W6:W9"/>
    <mergeCell ref="H7:H9"/>
    <mergeCell ref="I7:I9"/>
    <mergeCell ref="J7:J9"/>
    <mergeCell ref="K7:K9"/>
    <mergeCell ref="S7:S9"/>
    <mergeCell ref="T7:T9"/>
  </mergeCells>
  <conditionalFormatting sqref="C10:C40">
    <cfRule type="cellIs" dxfId="9" priority="1" operator="equal">
      <formula>"dom"</formula>
    </cfRule>
    <cfRule type="cellIs" dxfId="8" priority="2" operator="equal">
      <formula>"sáb"</formula>
    </cfRule>
  </conditionalFormatting>
  <pageMargins left="0.19685039370078741" right="0.19685039370078741" top="0.19685039370078741" bottom="0.19685039370078741" header="0" footer="0"/>
  <pageSetup paperSize="9" scale="55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DD83-CE62-459B-9E67-4FF2B6FDA0A4}">
  <sheetPr>
    <pageSetUpPr fitToPage="1"/>
  </sheetPr>
  <dimension ref="B1:AF41"/>
  <sheetViews>
    <sheetView showGridLines="0" zoomScale="87" zoomScaleNormal="87" workbookViewId="0">
      <pane ySplit="9" topLeftCell="A32" activePane="bottomLeft" state="frozen"/>
      <selection pane="bottomLeft" activeCell="W40" sqref="W40"/>
    </sheetView>
  </sheetViews>
  <sheetFormatPr defaultColWidth="15.5703125" defaultRowHeight="14.25" customHeight="1"/>
  <cols>
    <col min="1" max="1" width="1.140625" style="3" customWidth="1"/>
    <col min="2" max="2" width="10.5703125" style="3" customWidth="1"/>
    <col min="3" max="3" width="10.5703125" style="3" hidden="1" customWidth="1"/>
    <col min="4" max="6" width="11.85546875" style="3" hidden="1" customWidth="1"/>
    <col min="7" max="7" width="16.5703125" style="3" customWidth="1"/>
    <col min="8" max="9" width="15.5703125" style="3" customWidth="1"/>
    <col min="10" max="18" width="16.5703125" style="3" customWidth="1"/>
    <col min="19" max="21" width="15.85546875" style="1" customWidth="1"/>
    <col min="22" max="22" width="15.85546875" style="3" customWidth="1"/>
    <col min="23" max="23" width="16.85546875" style="8" bestFit="1" customWidth="1"/>
    <col min="24" max="24" width="1.140625" style="3" customWidth="1"/>
    <col min="25" max="25" width="15.5703125" style="79"/>
    <col min="26" max="16384" width="15.5703125" style="3"/>
  </cols>
  <sheetData>
    <row r="1" spans="2:32" ht="6.95" customHeight="1"/>
    <row r="2" spans="2:32" s="1" customFormat="1" ht="26.25" customHeight="1">
      <c r="B2" s="100" t="s">
        <v>15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2"/>
      <c r="Y2" s="80"/>
    </row>
    <row r="3" spans="2:32" s="1" customFormat="1" ht="26.25" customHeight="1">
      <c r="B3" s="103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5"/>
      <c r="Y3" s="80"/>
    </row>
    <row r="4" spans="2:32" s="1" customFormat="1" ht="26.25" customHeight="1">
      <c r="B4" s="14"/>
      <c r="C4" s="82"/>
      <c r="D4" s="82"/>
      <c r="E4" s="82"/>
      <c r="F4" s="82"/>
      <c r="G4" s="83" t="s">
        <v>17</v>
      </c>
      <c r="H4" s="19">
        <v>650000</v>
      </c>
      <c r="L4" s="84"/>
      <c r="M4" s="84"/>
      <c r="N4" s="84"/>
      <c r="O4" s="84"/>
      <c r="P4" s="84"/>
      <c r="Q4" s="84"/>
      <c r="R4" s="84"/>
      <c r="V4" s="84" t="s">
        <v>18</v>
      </c>
      <c r="W4" s="45">
        <v>20</v>
      </c>
      <c r="Y4" s="80"/>
      <c r="AA4" s="10"/>
      <c r="AB4" s="11"/>
      <c r="AC4" s="12"/>
      <c r="AD4" s="13"/>
      <c r="AE4" s="12"/>
      <c r="AF4" s="13"/>
    </row>
    <row r="5" spans="2:32" s="7" customFormat="1" ht="26.25" customHeight="1">
      <c r="B5" s="21"/>
      <c r="C5" s="22"/>
      <c r="D5" s="22"/>
      <c r="E5" s="22"/>
      <c r="F5" s="22"/>
      <c r="G5" s="23" t="s">
        <v>19</v>
      </c>
      <c r="H5" s="24">
        <f>IF(H4="","",H4/W4)</f>
        <v>32500</v>
      </c>
      <c r="I5" s="22"/>
      <c r="J5" s="22"/>
      <c r="K5" s="22"/>
      <c r="L5" s="25"/>
      <c r="M5" s="25"/>
      <c r="N5" s="25"/>
      <c r="O5" s="25"/>
      <c r="P5" s="25"/>
      <c r="Q5" s="25"/>
      <c r="R5" s="25"/>
      <c r="S5" s="22"/>
      <c r="T5" s="22"/>
      <c r="U5" s="22"/>
      <c r="V5" s="25" t="s">
        <v>20</v>
      </c>
      <c r="W5" s="46">
        <f>$B$10</f>
        <v>46113</v>
      </c>
      <c r="Y5" s="81"/>
    </row>
    <row r="6" spans="2:32" s="1" customFormat="1" ht="33.75" customHeight="1">
      <c r="B6" s="106" t="s">
        <v>21</v>
      </c>
      <c r="C6" s="108" t="s">
        <v>22</v>
      </c>
      <c r="D6" s="20" t="s">
        <v>22</v>
      </c>
      <c r="E6" s="20" t="s">
        <v>23</v>
      </c>
      <c r="F6" s="20" t="s">
        <v>24</v>
      </c>
      <c r="G6" s="108" t="s">
        <v>25</v>
      </c>
      <c r="H6" s="110" t="s">
        <v>4</v>
      </c>
      <c r="I6" s="110"/>
      <c r="J6" s="111"/>
      <c r="K6" s="112" t="s">
        <v>26</v>
      </c>
      <c r="L6" s="113"/>
      <c r="M6" s="113"/>
      <c r="N6" s="113"/>
      <c r="O6" s="113"/>
      <c r="P6" s="113"/>
      <c r="Q6" s="113"/>
      <c r="R6" s="113"/>
      <c r="S6" s="113"/>
      <c r="T6" s="113"/>
      <c r="U6" s="114"/>
      <c r="V6" s="108" t="s">
        <v>27</v>
      </c>
      <c r="W6" s="115" t="s">
        <v>28</v>
      </c>
      <c r="Y6" s="80" t="s">
        <v>29</v>
      </c>
    </row>
    <row r="7" spans="2:32" s="1" customFormat="1" ht="17.25" customHeight="1">
      <c r="B7" s="106"/>
      <c r="C7" s="108"/>
      <c r="D7" s="9"/>
      <c r="E7" s="9"/>
      <c r="F7" s="9"/>
      <c r="G7" s="108"/>
      <c r="H7" s="117" t="s">
        <v>30</v>
      </c>
      <c r="I7" s="119" t="s">
        <v>31</v>
      </c>
      <c r="J7" s="98" t="s">
        <v>32</v>
      </c>
      <c r="K7" s="121" t="s">
        <v>33</v>
      </c>
      <c r="L7" s="35" t="s">
        <v>9</v>
      </c>
      <c r="M7" s="35" t="s">
        <v>34</v>
      </c>
      <c r="N7" s="35" t="s">
        <v>35</v>
      </c>
      <c r="O7" s="35" t="s">
        <v>36</v>
      </c>
      <c r="P7" s="35" t="s">
        <v>37</v>
      </c>
      <c r="Q7" s="35" t="s">
        <v>38</v>
      </c>
      <c r="R7" s="35" t="s">
        <v>42</v>
      </c>
      <c r="S7" s="122" t="s">
        <v>39</v>
      </c>
      <c r="T7" s="125" t="s">
        <v>40</v>
      </c>
      <c r="U7" s="97" t="s">
        <v>32</v>
      </c>
      <c r="V7" s="108"/>
      <c r="W7" s="115"/>
      <c r="Y7" s="80"/>
    </row>
    <row r="8" spans="2:32" s="1" customFormat="1" ht="17.25" customHeight="1">
      <c r="B8" s="106"/>
      <c r="C8" s="108"/>
      <c r="D8" s="20"/>
      <c r="E8" s="20"/>
      <c r="F8" s="20"/>
      <c r="G8" s="108"/>
      <c r="H8" s="117"/>
      <c r="I8" s="119"/>
      <c r="J8" s="98"/>
      <c r="K8" s="119"/>
      <c r="L8" s="63">
        <v>175000</v>
      </c>
      <c r="M8" s="63">
        <v>360000</v>
      </c>
      <c r="N8" s="63">
        <v>30000</v>
      </c>
      <c r="O8" s="63">
        <v>30000</v>
      </c>
      <c r="P8" s="63">
        <v>30000</v>
      </c>
      <c r="Q8" s="63">
        <v>15000</v>
      </c>
      <c r="R8" s="63">
        <v>10000</v>
      </c>
      <c r="S8" s="123"/>
      <c r="T8" s="117"/>
      <c r="U8" s="98"/>
      <c r="V8" s="108"/>
      <c r="W8" s="115"/>
      <c r="Y8" s="80"/>
    </row>
    <row r="9" spans="2:32" s="1" customFormat="1" ht="17.25" customHeight="1">
      <c r="B9" s="107"/>
      <c r="C9" s="109"/>
      <c r="D9" s="20"/>
      <c r="E9" s="20"/>
      <c r="F9" s="20"/>
      <c r="G9" s="109"/>
      <c r="H9" s="118"/>
      <c r="I9" s="120"/>
      <c r="J9" s="99"/>
      <c r="K9" s="120"/>
      <c r="L9" s="38">
        <f t="shared" ref="L9:R9" si="0">IF(L8="","",SUM(L10:L40)/L8)</f>
        <v>0.96476708571428582</v>
      </c>
      <c r="M9" s="38">
        <f t="shared" si="0"/>
        <v>0.94860702777777772</v>
      </c>
      <c r="N9" s="38">
        <f t="shared" si="0"/>
        <v>1.1432083333333334</v>
      </c>
      <c r="O9" s="38">
        <f t="shared" si="0"/>
        <v>0.37106699999999992</v>
      </c>
      <c r="P9" s="38">
        <f t="shared" si="0"/>
        <v>1.5837896666666667</v>
      </c>
      <c r="Q9" s="38">
        <f t="shared" si="0"/>
        <v>0.89711999999999992</v>
      </c>
      <c r="R9" s="38">
        <f t="shared" si="0"/>
        <v>0</v>
      </c>
      <c r="S9" s="124"/>
      <c r="T9" s="118"/>
      <c r="U9" s="99"/>
      <c r="V9" s="109"/>
      <c r="W9" s="116"/>
      <c r="Y9" s="80"/>
    </row>
    <row r="10" spans="2:32" ht="20.25" customHeight="1">
      <c r="B10" s="64">
        <v>46113</v>
      </c>
      <c r="C10" s="5" t="str">
        <f>TEXT(B10,"ddd")</f>
        <v>qua</v>
      </c>
      <c r="D10" s="5" cm="1">
        <f t="array" ref="D10:D39">WEEKDAY($B$10:$B$39,2)</f>
        <v>3</v>
      </c>
      <c r="E10" s="5">
        <f>IF(D10&gt;5,0,1)</f>
        <v>1</v>
      </c>
      <c r="F10" s="2">
        <f>E10</f>
        <v>1</v>
      </c>
      <c r="G10" s="26">
        <f t="shared" ref="G10:G39" si="1">IF(F11&lt;1,"",$H$5*F10)</f>
        <v>32500</v>
      </c>
      <c r="H10" s="65">
        <v>12475.1</v>
      </c>
      <c r="I10" s="39">
        <f>IF(SUM(H10)="","",SUM(H10))</f>
        <v>12475.1</v>
      </c>
      <c r="J10" s="34">
        <f t="shared" ref="J10:J40" si="2">IF(I10=0,"",(I10/G10))</f>
        <v>0.38384923076923078</v>
      </c>
      <c r="K10" s="89">
        <v>6</v>
      </c>
      <c r="L10" s="65">
        <v>0</v>
      </c>
      <c r="M10" s="65">
        <v>19372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33">
        <f t="shared" ref="S10:S40" si="3">IF(SUM(L10:R10)=0,0,SUM(L10:R10))</f>
        <v>19372</v>
      </c>
      <c r="T10" s="39">
        <f>IF(SUM(S10)="","",SUM(S10))</f>
        <v>19372</v>
      </c>
      <c r="U10" s="34">
        <f>IF(T10=0,"",(T10/G10))</f>
        <v>0.59606153846153842</v>
      </c>
      <c r="V10" s="75">
        <f t="shared" ref="V10:V22" si="4">IF(K10="","",S10/K10)</f>
        <v>3228.6666666666665</v>
      </c>
      <c r="W10" s="85">
        <v>69006.63</v>
      </c>
    </row>
    <row r="11" spans="2:32" ht="20.25" customHeight="1">
      <c r="B11" s="15">
        <f>B10+1</f>
        <v>46114</v>
      </c>
      <c r="C11" s="6" t="str">
        <f t="shared" ref="C11:C39" si="5">TEXT(B11,"ddd")</f>
        <v>qui</v>
      </c>
      <c r="D11" s="6">
        <v>4</v>
      </c>
      <c r="E11" s="6">
        <f t="shared" ref="E11:E40" si="6">IF(D11&gt;5,0,1)</f>
        <v>1</v>
      </c>
      <c r="F11" s="4">
        <f>E11+F10</f>
        <v>2</v>
      </c>
      <c r="G11" s="27">
        <f t="shared" si="1"/>
        <v>65000</v>
      </c>
      <c r="H11" s="65">
        <v>22230.87</v>
      </c>
      <c r="I11" s="39">
        <f t="shared" ref="I11:I40" si="7">IF(SUM(H11,I10)="","",SUM(H11,I10))</f>
        <v>34705.97</v>
      </c>
      <c r="J11" s="29">
        <f t="shared" si="2"/>
        <v>0.53393800000000002</v>
      </c>
      <c r="K11" s="90">
        <v>5</v>
      </c>
      <c r="L11" s="69">
        <v>9712.5</v>
      </c>
      <c r="M11" s="69">
        <v>4216.53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33">
        <f t="shared" si="3"/>
        <v>13929.029999999999</v>
      </c>
      <c r="T11" s="39">
        <f>IF(SUM(S11,T10)="","",SUM(S11,T10))</f>
        <v>33301.03</v>
      </c>
      <c r="U11" s="34">
        <f t="shared" ref="U11:U40" si="8">IF(T11=0,"",T11/G11)</f>
        <v>0.51232353846153844</v>
      </c>
      <c r="V11" s="76">
        <f t="shared" si="4"/>
        <v>2785.8059999999996</v>
      </c>
      <c r="W11" s="86">
        <f>(W10+S11-H11+Y11)</f>
        <v>60704.790000000008</v>
      </c>
    </row>
    <row r="12" spans="2:32" ht="20.25" customHeight="1">
      <c r="B12" s="15">
        <f t="shared" ref="B12:B39" si="9">B11+1</f>
        <v>46115</v>
      </c>
      <c r="C12" s="6" t="str">
        <f>TEXT(B12,"ddd")</f>
        <v>sex</v>
      </c>
      <c r="D12" s="6">
        <v>5</v>
      </c>
      <c r="E12" s="6">
        <v>0</v>
      </c>
      <c r="F12" s="4">
        <f t="shared" ref="F12:F13" si="10">E12+F11</f>
        <v>2</v>
      </c>
      <c r="G12" s="27">
        <f t="shared" si="1"/>
        <v>65000</v>
      </c>
      <c r="H12" s="65">
        <v>0</v>
      </c>
      <c r="I12" s="39">
        <f t="shared" si="7"/>
        <v>34705.97</v>
      </c>
      <c r="J12" s="29">
        <f t="shared" si="2"/>
        <v>0.53393800000000002</v>
      </c>
      <c r="K12" s="90">
        <v>0</v>
      </c>
      <c r="L12" s="69">
        <v>0</v>
      </c>
      <c r="M12" s="69">
        <v>0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33">
        <f>IF(SUM(L12:R12)=0,0,SUM(L12:R12))</f>
        <v>0</v>
      </c>
      <c r="T12" s="39">
        <f t="shared" ref="T12:T40" si="11">IF(SUM(S12,T11)="","",SUM(S12,T11))</f>
        <v>33301.03</v>
      </c>
      <c r="U12" s="34">
        <f t="shared" si="8"/>
        <v>0.51232353846153844</v>
      </c>
      <c r="V12" s="76" t="e">
        <f t="shared" si="4"/>
        <v>#DIV/0!</v>
      </c>
      <c r="W12" s="86">
        <f t="shared" ref="W12:W40" si="12">(W11+S12-H12+Y12)</f>
        <v>60704.790000000008</v>
      </c>
    </row>
    <row r="13" spans="2:32" ht="20.25" customHeight="1">
      <c r="B13" s="15">
        <f t="shared" si="9"/>
        <v>46116</v>
      </c>
      <c r="C13" s="6" t="str">
        <f t="shared" si="5"/>
        <v>sáb</v>
      </c>
      <c r="D13" s="6">
        <v>6</v>
      </c>
      <c r="E13" s="6">
        <f>IF(D13&gt;5,0,1)</f>
        <v>0</v>
      </c>
      <c r="F13" s="4">
        <f t="shared" si="10"/>
        <v>2</v>
      </c>
      <c r="G13" s="27">
        <f t="shared" si="1"/>
        <v>65000</v>
      </c>
      <c r="H13" s="65">
        <v>0</v>
      </c>
      <c r="I13" s="39">
        <f t="shared" si="7"/>
        <v>34705.97</v>
      </c>
      <c r="J13" s="29">
        <f t="shared" si="2"/>
        <v>0.53393800000000002</v>
      </c>
      <c r="K13" s="90">
        <v>0</v>
      </c>
      <c r="L13" s="69">
        <v>0</v>
      </c>
      <c r="M13" s="69">
        <v>0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33">
        <f t="shared" si="3"/>
        <v>0</v>
      </c>
      <c r="T13" s="39">
        <f t="shared" si="11"/>
        <v>33301.03</v>
      </c>
      <c r="U13" s="34">
        <f t="shared" si="8"/>
        <v>0.51232353846153844</v>
      </c>
      <c r="V13" s="76" t="e">
        <f t="shared" si="4"/>
        <v>#DIV/0!</v>
      </c>
      <c r="W13" s="86">
        <f t="shared" si="12"/>
        <v>60704.790000000008</v>
      </c>
    </row>
    <row r="14" spans="2:32" ht="20.25" customHeight="1">
      <c r="B14" s="15">
        <f>B13+1</f>
        <v>46117</v>
      </c>
      <c r="C14" s="6" t="str">
        <f>TEXT(B14,"ddd")</f>
        <v>dom</v>
      </c>
      <c r="D14" s="6">
        <v>7</v>
      </c>
      <c r="E14" s="6">
        <f>IF(D14&gt;5,0,1)</f>
        <v>0</v>
      </c>
      <c r="F14" s="4">
        <f>F13+E14</f>
        <v>2</v>
      </c>
      <c r="G14" s="27">
        <f t="shared" si="1"/>
        <v>65000</v>
      </c>
      <c r="H14" s="65">
        <v>0</v>
      </c>
      <c r="I14" s="39">
        <f t="shared" si="7"/>
        <v>34705.97</v>
      </c>
      <c r="J14" s="29">
        <f t="shared" si="2"/>
        <v>0.53393800000000002</v>
      </c>
      <c r="K14" s="90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33">
        <f>IF(SUM(L14:R14)=0,0,SUM(L14:R14))</f>
        <v>0</v>
      </c>
      <c r="T14" s="39">
        <f>IF(SUM(S14,T13)="","",SUM(S14,T13))</f>
        <v>33301.03</v>
      </c>
      <c r="U14" s="34">
        <f t="shared" si="8"/>
        <v>0.51232353846153844</v>
      </c>
      <c r="V14" s="76" t="e">
        <f t="shared" si="4"/>
        <v>#DIV/0!</v>
      </c>
      <c r="W14" s="86">
        <f t="shared" si="12"/>
        <v>60704.790000000008</v>
      </c>
    </row>
    <row r="15" spans="2:32" ht="20.25" customHeight="1">
      <c r="B15" s="15">
        <f>B14+1</f>
        <v>46118</v>
      </c>
      <c r="C15" s="6" t="str">
        <f t="shared" si="5"/>
        <v>seg</v>
      </c>
      <c r="D15" s="6">
        <v>1</v>
      </c>
      <c r="E15" s="6">
        <f t="shared" si="6"/>
        <v>1</v>
      </c>
      <c r="F15" s="4">
        <f>F14+E15</f>
        <v>3</v>
      </c>
      <c r="G15" s="27">
        <f t="shared" si="1"/>
        <v>97500</v>
      </c>
      <c r="H15" s="65">
        <v>21399.919999999998</v>
      </c>
      <c r="I15" s="39">
        <f t="shared" si="7"/>
        <v>56105.89</v>
      </c>
      <c r="J15" s="29">
        <f t="shared" si="2"/>
        <v>0.57544502564102562</v>
      </c>
      <c r="K15" s="90">
        <v>9</v>
      </c>
      <c r="L15" s="69">
        <v>0</v>
      </c>
      <c r="M15" s="69">
        <v>11816.76</v>
      </c>
      <c r="N15" s="69">
        <v>3382.01</v>
      </c>
      <c r="O15" s="69">
        <v>0</v>
      </c>
      <c r="P15" s="69">
        <v>0</v>
      </c>
      <c r="Q15" s="69">
        <v>0</v>
      </c>
      <c r="R15" s="69">
        <v>0</v>
      </c>
      <c r="S15" s="33">
        <f>IF(SUM(L15:R15)=0,0,SUM(L15:R15))</f>
        <v>15198.77</v>
      </c>
      <c r="T15" s="39">
        <f>IF(SUM(S15,T14)="","",SUM(S15,T14))</f>
        <v>48499.8</v>
      </c>
      <c r="U15" s="34">
        <f t="shared" si="8"/>
        <v>0.49743384615384617</v>
      </c>
      <c r="V15" s="76">
        <f t="shared" si="4"/>
        <v>1688.7522222222224</v>
      </c>
      <c r="W15" s="86">
        <f t="shared" si="12"/>
        <v>54503.640000000014</v>
      </c>
    </row>
    <row r="16" spans="2:32" ht="20.25" customHeight="1">
      <c r="B16" s="15">
        <f t="shared" si="9"/>
        <v>46119</v>
      </c>
      <c r="C16" s="6" t="str">
        <f t="shared" si="5"/>
        <v>ter</v>
      </c>
      <c r="D16" s="6">
        <v>2</v>
      </c>
      <c r="E16" s="6">
        <f t="shared" si="6"/>
        <v>1</v>
      </c>
      <c r="F16" s="4">
        <f t="shared" ref="F16:F20" si="13">F15+E16</f>
        <v>4</v>
      </c>
      <c r="G16" s="27">
        <f t="shared" si="1"/>
        <v>130000</v>
      </c>
      <c r="H16" s="65">
        <v>0</v>
      </c>
      <c r="I16" s="39">
        <f t="shared" si="7"/>
        <v>56105.89</v>
      </c>
      <c r="J16" s="29">
        <f t="shared" si="2"/>
        <v>0.43158376923076924</v>
      </c>
      <c r="K16" s="90">
        <v>7</v>
      </c>
      <c r="L16" s="69">
        <v>324.89999999999998</v>
      </c>
      <c r="M16" s="69">
        <v>5769.57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33">
        <f t="shared" si="3"/>
        <v>6094.4699999999993</v>
      </c>
      <c r="T16" s="39">
        <f t="shared" si="11"/>
        <v>54594.270000000004</v>
      </c>
      <c r="U16" s="34">
        <f t="shared" si="8"/>
        <v>0.41995592307692309</v>
      </c>
      <c r="V16" s="76">
        <f t="shared" si="4"/>
        <v>870.63857142857137</v>
      </c>
      <c r="W16" s="86">
        <f t="shared" si="12"/>
        <v>60598.110000000015</v>
      </c>
    </row>
    <row r="17" spans="2:23" ht="20.25" customHeight="1">
      <c r="B17" s="15">
        <f t="shared" si="9"/>
        <v>46120</v>
      </c>
      <c r="C17" s="6" t="str">
        <f t="shared" si="5"/>
        <v>qua</v>
      </c>
      <c r="D17" s="6">
        <v>3</v>
      </c>
      <c r="E17" s="6">
        <f t="shared" si="6"/>
        <v>1</v>
      </c>
      <c r="F17" s="4">
        <f t="shared" si="13"/>
        <v>5</v>
      </c>
      <c r="G17" s="27">
        <f t="shared" si="1"/>
        <v>162500</v>
      </c>
      <c r="H17" s="65">
        <v>7358.38</v>
      </c>
      <c r="I17" s="39">
        <f t="shared" si="7"/>
        <v>63464.27</v>
      </c>
      <c r="J17" s="29">
        <f t="shared" si="2"/>
        <v>0.3905493538461538</v>
      </c>
      <c r="K17" s="90">
        <v>6</v>
      </c>
      <c r="L17" s="69">
        <v>0</v>
      </c>
      <c r="M17" s="69">
        <v>3567.7</v>
      </c>
      <c r="N17" s="69">
        <v>3708.24</v>
      </c>
      <c r="O17" s="69">
        <v>1597.84</v>
      </c>
      <c r="P17" s="69">
        <v>0</v>
      </c>
      <c r="Q17" s="69">
        <v>0</v>
      </c>
      <c r="R17" s="69">
        <v>0</v>
      </c>
      <c r="S17" s="33">
        <f t="shared" si="3"/>
        <v>8873.7799999999988</v>
      </c>
      <c r="T17" s="39">
        <f t="shared" si="11"/>
        <v>63468.05</v>
      </c>
      <c r="U17" s="34">
        <f t="shared" si="8"/>
        <v>0.39057261538461541</v>
      </c>
      <c r="V17" s="76">
        <f t="shared" si="4"/>
        <v>1478.9633333333331</v>
      </c>
      <c r="W17" s="86">
        <f t="shared" si="12"/>
        <v>62113.510000000017</v>
      </c>
    </row>
    <row r="18" spans="2:23" ht="20.25" customHeight="1">
      <c r="B18" s="15">
        <f t="shared" si="9"/>
        <v>46121</v>
      </c>
      <c r="C18" s="6" t="str">
        <f t="shared" si="5"/>
        <v>qui</v>
      </c>
      <c r="D18" s="6">
        <v>4</v>
      </c>
      <c r="E18" s="6">
        <f t="shared" si="6"/>
        <v>1</v>
      </c>
      <c r="F18" s="4">
        <f t="shared" si="13"/>
        <v>6</v>
      </c>
      <c r="G18" s="27">
        <f t="shared" si="1"/>
        <v>195000</v>
      </c>
      <c r="H18" s="65">
        <v>48973.37</v>
      </c>
      <c r="I18" s="39">
        <f t="shared" si="7"/>
        <v>112437.64</v>
      </c>
      <c r="J18" s="29">
        <f t="shared" si="2"/>
        <v>0.57660328205128208</v>
      </c>
      <c r="K18" s="90">
        <v>2</v>
      </c>
      <c r="L18" s="69">
        <v>2405.4</v>
      </c>
      <c r="M18" s="69">
        <v>763.4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33">
        <f t="shared" si="3"/>
        <v>3168.8</v>
      </c>
      <c r="T18" s="39">
        <f t="shared" si="11"/>
        <v>66636.850000000006</v>
      </c>
      <c r="U18" s="34">
        <f t="shared" si="8"/>
        <v>0.34172743589743593</v>
      </c>
      <c r="V18" s="76">
        <f t="shared" si="4"/>
        <v>1584.4</v>
      </c>
      <c r="W18" s="86">
        <f t="shared" si="12"/>
        <v>16308.940000000017</v>
      </c>
    </row>
    <row r="19" spans="2:23" ht="20.25" customHeight="1">
      <c r="B19" s="15">
        <f t="shared" si="9"/>
        <v>46122</v>
      </c>
      <c r="C19" s="6" t="str">
        <f t="shared" si="5"/>
        <v>sex</v>
      </c>
      <c r="D19" s="6">
        <v>5</v>
      </c>
      <c r="E19" s="6">
        <f t="shared" si="6"/>
        <v>1</v>
      </c>
      <c r="F19" s="4">
        <f t="shared" si="13"/>
        <v>7</v>
      </c>
      <c r="G19" s="27">
        <f t="shared" si="1"/>
        <v>227500</v>
      </c>
      <c r="H19" s="65">
        <v>17925.310000000001</v>
      </c>
      <c r="I19" s="39">
        <f t="shared" si="7"/>
        <v>130362.95</v>
      </c>
      <c r="J19" s="29">
        <f t="shared" si="2"/>
        <v>0.57302395604395606</v>
      </c>
      <c r="K19" s="90">
        <v>21</v>
      </c>
      <c r="L19" s="69">
        <v>14050.92</v>
      </c>
      <c r="M19" s="69">
        <v>44642.239999999998</v>
      </c>
      <c r="N19" s="69">
        <v>0</v>
      </c>
      <c r="O19" s="88" t="s">
        <v>43</v>
      </c>
      <c r="P19" s="69">
        <v>30595.15</v>
      </c>
      <c r="Q19" s="69">
        <v>0</v>
      </c>
      <c r="R19" s="69">
        <v>0</v>
      </c>
      <c r="S19" s="33">
        <f t="shared" si="3"/>
        <v>89288.31</v>
      </c>
      <c r="T19" s="39">
        <f t="shared" si="11"/>
        <v>155925.16</v>
      </c>
      <c r="U19" s="34">
        <f t="shared" si="8"/>
        <v>0.68538531868131869</v>
      </c>
      <c r="V19" s="76">
        <f t="shared" si="4"/>
        <v>4251.8242857142859</v>
      </c>
      <c r="W19" s="86">
        <f t="shared" si="12"/>
        <v>87671.940000000017</v>
      </c>
    </row>
    <row r="20" spans="2:23" ht="20.25" customHeight="1">
      <c r="B20" s="15">
        <f t="shared" si="9"/>
        <v>46123</v>
      </c>
      <c r="C20" s="6" t="str">
        <f t="shared" si="5"/>
        <v>sáb</v>
      </c>
      <c r="D20" s="6">
        <v>6</v>
      </c>
      <c r="E20" s="6">
        <f t="shared" si="6"/>
        <v>0</v>
      </c>
      <c r="F20" s="4">
        <f t="shared" si="13"/>
        <v>7</v>
      </c>
      <c r="G20" s="27">
        <f t="shared" si="1"/>
        <v>227500</v>
      </c>
      <c r="H20" s="65"/>
      <c r="I20" s="39">
        <f t="shared" si="7"/>
        <v>130362.95</v>
      </c>
      <c r="J20" s="29">
        <f t="shared" si="2"/>
        <v>0.57302395604395606</v>
      </c>
      <c r="K20" s="91"/>
      <c r="L20" s="71"/>
      <c r="M20" s="71"/>
      <c r="N20" s="71"/>
      <c r="O20" s="71"/>
      <c r="P20" s="71"/>
      <c r="Q20" s="71"/>
      <c r="R20" s="71"/>
      <c r="S20" s="33">
        <f t="shared" si="3"/>
        <v>0</v>
      </c>
      <c r="T20" s="39">
        <f t="shared" si="11"/>
        <v>155925.16</v>
      </c>
      <c r="U20" s="34">
        <f t="shared" si="8"/>
        <v>0.68538531868131869</v>
      </c>
      <c r="V20" s="76" t="str">
        <f t="shared" si="4"/>
        <v/>
      </c>
      <c r="W20" s="86">
        <f t="shared" si="12"/>
        <v>87671.940000000017</v>
      </c>
    </row>
    <row r="21" spans="2:23" ht="20.25" customHeight="1">
      <c r="B21" s="15">
        <f t="shared" si="9"/>
        <v>46124</v>
      </c>
      <c r="C21" s="6" t="str">
        <f t="shared" si="5"/>
        <v>dom</v>
      </c>
      <c r="D21" s="6">
        <v>7</v>
      </c>
      <c r="E21" s="6">
        <f t="shared" si="6"/>
        <v>0</v>
      </c>
      <c r="F21" s="4">
        <f t="shared" ref="F21:F39" si="14">E21+F20</f>
        <v>7</v>
      </c>
      <c r="G21" s="27">
        <f t="shared" si="1"/>
        <v>227500</v>
      </c>
      <c r="H21" s="65"/>
      <c r="I21" s="39">
        <f t="shared" si="7"/>
        <v>130362.95</v>
      </c>
      <c r="J21" s="29">
        <f t="shared" si="2"/>
        <v>0.57302395604395606</v>
      </c>
      <c r="K21" s="91"/>
      <c r="L21" s="71"/>
      <c r="M21" s="71"/>
      <c r="N21" s="71"/>
      <c r="O21" s="71"/>
      <c r="P21" s="71"/>
      <c r="Q21" s="71"/>
      <c r="R21" s="71"/>
      <c r="S21" s="33">
        <f t="shared" si="3"/>
        <v>0</v>
      </c>
      <c r="T21" s="39">
        <f t="shared" si="11"/>
        <v>155925.16</v>
      </c>
      <c r="U21" s="34">
        <f t="shared" si="8"/>
        <v>0.68538531868131869</v>
      </c>
      <c r="V21" s="76" t="str">
        <f t="shared" si="4"/>
        <v/>
      </c>
      <c r="W21" s="86">
        <f t="shared" si="12"/>
        <v>87671.940000000017</v>
      </c>
    </row>
    <row r="22" spans="2:23" ht="20.25" customHeight="1">
      <c r="B22" s="15">
        <f t="shared" si="9"/>
        <v>46125</v>
      </c>
      <c r="C22" s="6" t="str">
        <f t="shared" si="5"/>
        <v>seg</v>
      </c>
      <c r="D22" s="6">
        <v>1</v>
      </c>
      <c r="E22" s="6">
        <f t="shared" si="6"/>
        <v>1</v>
      </c>
      <c r="F22" s="4">
        <f t="shared" si="14"/>
        <v>8</v>
      </c>
      <c r="G22" s="27">
        <f t="shared" si="1"/>
        <v>260000</v>
      </c>
      <c r="H22" s="65">
        <v>0</v>
      </c>
      <c r="I22" s="39">
        <f t="shared" si="7"/>
        <v>130362.95</v>
      </c>
      <c r="J22" s="29">
        <f t="shared" si="2"/>
        <v>0.50139596153846155</v>
      </c>
      <c r="K22" s="91">
        <v>2</v>
      </c>
      <c r="L22" s="71">
        <v>10695.25</v>
      </c>
      <c r="M22" s="71">
        <v>0</v>
      </c>
      <c r="N22" s="71">
        <v>0</v>
      </c>
      <c r="O22" s="71">
        <v>0</v>
      </c>
      <c r="P22" s="71">
        <v>0</v>
      </c>
      <c r="Q22" s="71">
        <v>13456.8</v>
      </c>
      <c r="R22" s="71">
        <v>0</v>
      </c>
      <c r="S22" s="33">
        <f t="shared" si="3"/>
        <v>24152.05</v>
      </c>
      <c r="T22" s="39">
        <f t="shared" si="11"/>
        <v>180077.21</v>
      </c>
      <c r="U22" s="34">
        <f t="shared" si="8"/>
        <v>0.69260465384615377</v>
      </c>
      <c r="V22" s="76">
        <f t="shared" si="4"/>
        <v>12076.025</v>
      </c>
      <c r="W22" s="86">
        <f t="shared" si="12"/>
        <v>111823.99000000002</v>
      </c>
    </row>
    <row r="23" spans="2:23" ht="20.25" customHeight="1">
      <c r="B23" s="15">
        <f t="shared" si="9"/>
        <v>46126</v>
      </c>
      <c r="C23" s="6" t="str">
        <f t="shared" si="5"/>
        <v>ter</v>
      </c>
      <c r="D23" s="6">
        <v>2</v>
      </c>
      <c r="E23" s="6">
        <f t="shared" si="6"/>
        <v>1</v>
      </c>
      <c r="F23" s="4">
        <f t="shared" si="14"/>
        <v>9</v>
      </c>
      <c r="G23" s="27">
        <f t="shared" si="1"/>
        <v>292500</v>
      </c>
      <c r="H23" s="65">
        <v>29025.81</v>
      </c>
      <c r="I23" s="39">
        <f t="shared" si="7"/>
        <v>159388.76</v>
      </c>
      <c r="J23" s="29">
        <f t="shared" si="2"/>
        <v>0.54491883760683768</v>
      </c>
      <c r="K23" s="91">
        <v>9</v>
      </c>
      <c r="L23" s="71">
        <v>0</v>
      </c>
      <c r="M23" s="71">
        <v>10886.33</v>
      </c>
      <c r="N23" s="71">
        <v>0</v>
      </c>
      <c r="O23" s="71">
        <v>4284.04</v>
      </c>
      <c r="P23" s="71">
        <v>0</v>
      </c>
      <c r="Q23" s="71">
        <v>0</v>
      </c>
      <c r="R23" s="71">
        <v>0</v>
      </c>
      <c r="S23" s="33">
        <f t="shared" si="3"/>
        <v>15170.369999999999</v>
      </c>
      <c r="T23" s="39">
        <f t="shared" si="11"/>
        <v>195247.58</v>
      </c>
      <c r="U23" s="34">
        <f t="shared" si="8"/>
        <v>0.66751309401709402</v>
      </c>
      <c r="V23" s="76">
        <f t="shared" ref="V23:V29" si="15">IF(K23="","",S23/K23)</f>
        <v>1685.5966666666666</v>
      </c>
      <c r="W23" s="86">
        <f t="shared" si="12"/>
        <v>97968.550000000017</v>
      </c>
    </row>
    <row r="24" spans="2:23" ht="20.25" customHeight="1">
      <c r="B24" s="15">
        <f>B23+1</f>
        <v>46127</v>
      </c>
      <c r="C24" s="6" t="str">
        <f t="shared" si="5"/>
        <v>qua</v>
      </c>
      <c r="D24" s="6">
        <v>3</v>
      </c>
      <c r="E24" s="6">
        <f t="shared" si="6"/>
        <v>1</v>
      </c>
      <c r="F24" s="4">
        <f>E24+F23</f>
        <v>10</v>
      </c>
      <c r="G24" s="27">
        <f t="shared" si="1"/>
        <v>325000</v>
      </c>
      <c r="H24" s="65">
        <v>19088.650000000001</v>
      </c>
      <c r="I24" s="39">
        <f t="shared" si="7"/>
        <v>178477.41</v>
      </c>
      <c r="J24" s="29">
        <f t="shared" si="2"/>
        <v>0.54916126153846156</v>
      </c>
      <c r="K24" s="91">
        <v>16</v>
      </c>
      <c r="L24" s="71">
        <v>32439.85</v>
      </c>
      <c r="M24" s="71">
        <v>9870.8799999999992</v>
      </c>
      <c r="N24" s="71">
        <v>0</v>
      </c>
      <c r="O24" s="71">
        <v>1470.02</v>
      </c>
      <c r="P24" s="71">
        <v>7653.88</v>
      </c>
      <c r="Q24" s="71">
        <v>0</v>
      </c>
      <c r="R24" s="71">
        <v>0</v>
      </c>
      <c r="S24" s="33">
        <f t="shared" si="3"/>
        <v>51434.62999999999</v>
      </c>
      <c r="T24" s="39">
        <f t="shared" si="11"/>
        <v>246682.20999999996</v>
      </c>
      <c r="U24" s="34">
        <f t="shared" si="8"/>
        <v>0.75902218461538451</v>
      </c>
      <c r="V24" s="76">
        <f t="shared" si="15"/>
        <v>3214.6643749999994</v>
      </c>
      <c r="W24" s="86">
        <f t="shared" si="12"/>
        <v>130314.53</v>
      </c>
    </row>
    <row r="25" spans="2:23" ht="20.25" customHeight="1">
      <c r="B25" s="15">
        <f>B24+1</f>
        <v>46128</v>
      </c>
      <c r="C25" s="6" t="str">
        <f t="shared" si="5"/>
        <v>qui</v>
      </c>
      <c r="D25" s="6">
        <v>4</v>
      </c>
      <c r="E25" s="6">
        <f t="shared" si="6"/>
        <v>1</v>
      </c>
      <c r="F25" s="4">
        <f>E25+F24</f>
        <v>11</v>
      </c>
      <c r="G25" s="27">
        <f t="shared" si="1"/>
        <v>357500</v>
      </c>
      <c r="H25" s="65">
        <v>2405.4</v>
      </c>
      <c r="I25" s="39">
        <f t="shared" si="7"/>
        <v>180882.81</v>
      </c>
      <c r="J25" s="29">
        <f t="shared" si="2"/>
        <v>0.50596590209790204</v>
      </c>
      <c r="K25" s="91">
        <v>9</v>
      </c>
      <c r="L25" s="71">
        <v>0</v>
      </c>
      <c r="M25" s="71">
        <v>1112.28</v>
      </c>
      <c r="N25" s="71">
        <v>7631.44</v>
      </c>
      <c r="O25" s="71">
        <v>0</v>
      </c>
      <c r="P25" s="71">
        <v>0</v>
      </c>
      <c r="Q25" s="71">
        <v>0</v>
      </c>
      <c r="R25" s="71">
        <v>0</v>
      </c>
      <c r="S25" s="33">
        <f>IF(SUM(L25:R25)=0,0,SUM(L25:R25))</f>
        <v>8743.7199999999993</v>
      </c>
      <c r="T25" s="39">
        <f t="shared" si="11"/>
        <v>255425.92999999996</v>
      </c>
      <c r="U25" s="34">
        <f t="shared" si="8"/>
        <v>0.71447812587412574</v>
      </c>
      <c r="V25" s="76">
        <f t="shared" si="15"/>
        <v>971.52444444444438</v>
      </c>
      <c r="W25" s="86">
        <f t="shared" si="12"/>
        <v>136652.85</v>
      </c>
    </row>
    <row r="26" spans="2:23" ht="20.25" customHeight="1">
      <c r="B26" s="15">
        <f t="shared" si="9"/>
        <v>46129</v>
      </c>
      <c r="C26" s="6" t="str">
        <f t="shared" si="5"/>
        <v>sex</v>
      </c>
      <c r="D26" s="6">
        <v>5</v>
      </c>
      <c r="E26" s="6">
        <f t="shared" si="6"/>
        <v>1</v>
      </c>
      <c r="F26" s="4">
        <f>E26+F25</f>
        <v>12</v>
      </c>
      <c r="G26" s="27">
        <f t="shared" si="1"/>
        <v>390000</v>
      </c>
      <c r="H26" s="65">
        <v>75219.5</v>
      </c>
      <c r="I26" s="39">
        <f t="shared" si="7"/>
        <v>256102.31</v>
      </c>
      <c r="J26" s="29">
        <f t="shared" si="2"/>
        <v>0.65667258974358977</v>
      </c>
      <c r="K26" s="91">
        <v>10</v>
      </c>
      <c r="L26" s="71">
        <v>11868.62</v>
      </c>
      <c r="M26" s="71">
        <v>17831.47</v>
      </c>
      <c r="N26" s="71">
        <v>2016.36</v>
      </c>
      <c r="O26" s="71">
        <v>0</v>
      </c>
      <c r="P26" s="71">
        <v>0</v>
      </c>
      <c r="Q26" s="71">
        <v>0</v>
      </c>
      <c r="R26" s="71">
        <v>0</v>
      </c>
      <c r="S26" s="33">
        <f t="shared" si="3"/>
        <v>31716.450000000004</v>
      </c>
      <c r="T26" s="39">
        <f t="shared" si="11"/>
        <v>287142.37999999995</v>
      </c>
      <c r="U26" s="34">
        <f t="shared" si="8"/>
        <v>0.73626251282051269</v>
      </c>
      <c r="V26" s="76">
        <f t="shared" si="15"/>
        <v>3171.6450000000004</v>
      </c>
      <c r="W26" s="86">
        <f t="shared" si="12"/>
        <v>93149.800000000017</v>
      </c>
    </row>
    <row r="27" spans="2:23" ht="20.25" customHeight="1">
      <c r="B27" s="15">
        <f t="shared" si="9"/>
        <v>46130</v>
      </c>
      <c r="C27" s="6" t="str">
        <f t="shared" si="5"/>
        <v>sáb</v>
      </c>
      <c r="D27" s="6">
        <v>6</v>
      </c>
      <c r="E27" s="6">
        <f t="shared" si="6"/>
        <v>0</v>
      </c>
      <c r="F27" s="4">
        <f t="shared" si="14"/>
        <v>12</v>
      </c>
      <c r="G27" s="27">
        <f t="shared" si="1"/>
        <v>390000</v>
      </c>
      <c r="H27" s="65"/>
      <c r="I27" s="39">
        <f t="shared" si="7"/>
        <v>256102.31</v>
      </c>
      <c r="J27" s="29">
        <f t="shared" si="2"/>
        <v>0.65667258974358977</v>
      </c>
      <c r="K27" s="91"/>
      <c r="L27" s="71"/>
      <c r="M27" s="71"/>
      <c r="N27" s="71"/>
      <c r="O27" s="71"/>
      <c r="P27" s="71"/>
      <c r="Q27" s="71"/>
      <c r="R27" s="71"/>
      <c r="S27" s="33">
        <f t="shared" si="3"/>
        <v>0</v>
      </c>
      <c r="T27" s="39">
        <f t="shared" si="11"/>
        <v>287142.37999999995</v>
      </c>
      <c r="U27" s="34">
        <f t="shared" si="8"/>
        <v>0.73626251282051269</v>
      </c>
      <c r="V27" s="76" t="str">
        <f t="shared" si="15"/>
        <v/>
      </c>
      <c r="W27" s="86">
        <f t="shared" si="12"/>
        <v>93149.800000000017</v>
      </c>
    </row>
    <row r="28" spans="2:23" ht="20.25" customHeight="1">
      <c r="B28" s="15">
        <f t="shared" si="9"/>
        <v>46131</v>
      </c>
      <c r="C28" s="6" t="str">
        <f t="shared" si="5"/>
        <v>dom</v>
      </c>
      <c r="D28" s="6">
        <v>7</v>
      </c>
      <c r="E28" s="6">
        <f t="shared" si="6"/>
        <v>0</v>
      </c>
      <c r="F28" s="4">
        <f t="shared" si="14"/>
        <v>12</v>
      </c>
      <c r="G28" s="27">
        <f t="shared" si="1"/>
        <v>390000</v>
      </c>
      <c r="H28" s="65"/>
      <c r="I28" s="39">
        <f t="shared" si="7"/>
        <v>256102.31</v>
      </c>
      <c r="J28" s="29">
        <f t="shared" si="2"/>
        <v>0.65667258974358977</v>
      </c>
      <c r="K28" s="91"/>
      <c r="L28" s="71"/>
      <c r="M28" s="71"/>
      <c r="N28" s="71"/>
      <c r="O28" s="71"/>
      <c r="P28" s="71"/>
      <c r="Q28" s="71"/>
      <c r="R28" s="71"/>
      <c r="S28" s="33">
        <f t="shared" si="3"/>
        <v>0</v>
      </c>
      <c r="T28" s="39">
        <f t="shared" si="11"/>
        <v>287142.37999999995</v>
      </c>
      <c r="U28" s="34">
        <f t="shared" si="8"/>
        <v>0.73626251282051269</v>
      </c>
      <c r="V28" s="76" t="str">
        <f t="shared" si="15"/>
        <v/>
      </c>
      <c r="W28" s="86">
        <f t="shared" si="12"/>
        <v>93149.800000000017</v>
      </c>
    </row>
    <row r="29" spans="2:23" ht="20.25" customHeight="1">
      <c r="B29" s="15">
        <f t="shared" si="9"/>
        <v>46132</v>
      </c>
      <c r="C29" s="6" t="str">
        <f t="shared" si="5"/>
        <v>seg</v>
      </c>
      <c r="D29" s="6">
        <v>1</v>
      </c>
      <c r="E29" s="6">
        <f t="shared" si="6"/>
        <v>1</v>
      </c>
      <c r="F29" s="4">
        <f t="shared" si="14"/>
        <v>13</v>
      </c>
      <c r="G29" s="27">
        <f t="shared" si="1"/>
        <v>422500</v>
      </c>
      <c r="H29" s="65">
        <v>21161.919999999998</v>
      </c>
      <c r="I29" s="39">
        <f t="shared" si="7"/>
        <v>277264.23</v>
      </c>
      <c r="J29" s="29">
        <f t="shared" si="2"/>
        <v>0.65624669822485204</v>
      </c>
      <c r="K29" s="91">
        <v>10</v>
      </c>
      <c r="L29" s="71">
        <v>14977.95</v>
      </c>
      <c r="M29" s="71">
        <v>18452.71</v>
      </c>
      <c r="N29" s="71">
        <v>0</v>
      </c>
      <c r="O29" s="71">
        <v>796.25</v>
      </c>
      <c r="P29" s="71">
        <v>9264.66</v>
      </c>
      <c r="Q29" s="71">
        <v>0</v>
      </c>
      <c r="R29" s="71">
        <v>0</v>
      </c>
      <c r="S29" s="33">
        <f t="shared" si="3"/>
        <v>43491.570000000007</v>
      </c>
      <c r="T29" s="39">
        <f t="shared" si="11"/>
        <v>330633.94999999995</v>
      </c>
      <c r="U29" s="34">
        <f t="shared" si="8"/>
        <v>0.78256556213017736</v>
      </c>
      <c r="V29" s="76">
        <f t="shared" si="15"/>
        <v>4349.1570000000011</v>
      </c>
      <c r="W29" s="86">
        <f t="shared" si="12"/>
        <v>115479.45000000003</v>
      </c>
    </row>
    <row r="30" spans="2:23" ht="20.25" customHeight="1">
      <c r="B30" s="15">
        <f t="shared" si="9"/>
        <v>46133</v>
      </c>
      <c r="C30" s="6" t="str">
        <f t="shared" si="5"/>
        <v>ter</v>
      </c>
      <c r="D30" s="6">
        <v>2</v>
      </c>
      <c r="E30" s="6">
        <v>0</v>
      </c>
      <c r="F30" s="4">
        <f t="shared" si="14"/>
        <v>13</v>
      </c>
      <c r="G30" s="27">
        <f t="shared" si="1"/>
        <v>422500</v>
      </c>
      <c r="H30" s="65">
        <v>0</v>
      </c>
      <c r="I30" s="39">
        <f t="shared" si="7"/>
        <v>277264.23</v>
      </c>
      <c r="J30" s="29">
        <f t="shared" si="2"/>
        <v>0.65624669822485204</v>
      </c>
      <c r="K30" s="9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33">
        <f t="shared" si="3"/>
        <v>0</v>
      </c>
      <c r="T30" s="39">
        <f t="shared" si="11"/>
        <v>330633.94999999995</v>
      </c>
      <c r="U30" s="34">
        <f t="shared" si="8"/>
        <v>0.78256556213017736</v>
      </c>
      <c r="V30" s="76" t="e">
        <f t="shared" ref="V30:V40" si="16">IF(K30="","",S30/K30)</f>
        <v>#DIV/0!</v>
      </c>
      <c r="W30" s="86">
        <f t="shared" si="12"/>
        <v>115479.45000000003</v>
      </c>
    </row>
    <row r="31" spans="2:23" ht="20.25" customHeight="1">
      <c r="B31" s="15">
        <f t="shared" si="9"/>
        <v>46134</v>
      </c>
      <c r="C31" s="6" t="str">
        <f t="shared" si="5"/>
        <v>qua</v>
      </c>
      <c r="D31" s="6">
        <v>3</v>
      </c>
      <c r="E31" s="6">
        <f t="shared" si="6"/>
        <v>1</v>
      </c>
      <c r="F31" s="4">
        <f t="shared" si="14"/>
        <v>14</v>
      </c>
      <c r="G31" s="27">
        <f t="shared" si="1"/>
        <v>455000</v>
      </c>
      <c r="H31" s="65">
        <v>20030.14</v>
      </c>
      <c r="I31" s="39">
        <f t="shared" si="7"/>
        <v>297294.37</v>
      </c>
      <c r="J31" s="29">
        <f t="shared" si="2"/>
        <v>0.65339421978021972</v>
      </c>
      <c r="K31" s="91">
        <v>17</v>
      </c>
      <c r="L31" s="71">
        <v>5691.94</v>
      </c>
      <c r="M31" s="71">
        <v>12415.23</v>
      </c>
      <c r="N31" s="71">
        <v>4945.32</v>
      </c>
      <c r="O31" s="71">
        <v>0</v>
      </c>
      <c r="P31" s="71">
        <v>0</v>
      </c>
      <c r="Q31" s="71">
        <v>0</v>
      </c>
      <c r="R31" s="71">
        <v>0</v>
      </c>
      <c r="S31" s="33">
        <f t="shared" si="3"/>
        <v>23052.489999999998</v>
      </c>
      <c r="T31" s="39">
        <f t="shared" si="11"/>
        <v>353686.43999999994</v>
      </c>
      <c r="U31" s="34">
        <f t="shared" si="8"/>
        <v>0.77733283516483509</v>
      </c>
      <c r="V31" s="76">
        <f t="shared" si="16"/>
        <v>1356.0288235294117</v>
      </c>
      <c r="W31" s="86">
        <f t="shared" si="12"/>
        <v>118501.80000000003</v>
      </c>
    </row>
    <row r="32" spans="2:23" ht="20.25" customHeight="1">
      <c r="B32" s="15">
        <f>B31+1</f>
        <v>46135</v>
      </c>
      <c r="C32" s="6" t="str">
        <f t="shared" si="5"/>
        <v>qui</v>
      </c>
      <c r="D32" s="6">
        <v>4</v>
      </c>
      <c r="E32" s="6">
        <f t="shared" si="6"/>
        <v>1</v>
      </c>
      <c r="F32" s="4">
        <f>E32+F31</f>
        <v>15</v>
      </c>
      <c r="G32" s="27">
        <f t="shared" si="1"/>
        <v>487500</v>
      </c>
      <c r="H32" s="65">
        <v>28940.76</v>
      </c>
      <c r="I32" s="39">
        <f t="shared" si="7"/>
        <v>326235.13</v>
      </c>
      <c r="J32" s="29">
        <f t="shared" si="2"/>
        <v>0.66920026666666665</v>
      </c>
      <c r="K32" s="91">
        <v>24</v>
      </c>
      <c r="L32" s="71">
        <v>43712.31</v>
      </c>
      <c r="M32" s="71">
        <v>85384.01</v>
      </c>
      <c r="N32" s="71">
        <v>6394.91</v>
      </c>
      <c r="O32" s="71">
        <v>748.3</v>
      </c>
      <c r="P32" s="71">
        <v>0</v>
      </c>
      <c r="Q32" s="71">
        <v>0</v>
      </c>
      <c r="R32" s="71">
        <v>0</v>
      </c>
      <c r="S32" s="33">
        <f t="shared" si="3"/>
        <v>136239.52999999997</v>
      </c>
      <c r="T32" s="39">
        <f>IF(SUM(S32,T31)="","",SUM(S32,T31))</f>
        <v>489925.96999999991</v>
      </c>
      <c r="U32" s="34">
        <f t="shared" si="8"/>
        <v>1.0049763487179486</v>
      </c>
      <c r="V32" s="76">
        <f t="shared" si="16"/>
        <v>5676.6470833333324</v>
      </c>
      <c r="W32" s="86">
        <f t="shared" si="12"/>
        <v>225800.57</v>
      </c>
    </row>
    <row r="33" spans="2:25" ht="20.25" customHeight="1">
      <c r="B33" s="15">
        <f>B32+1</f>
        <v>46136</v>
      </c>
      <c r="C33" s="6" t="str">
        <f t="shared" si="5"/>
        <v>sex</v>
      </c>
      <c r="D33" s="6">
        <v>5</v>
      </c>
      <c r="E33" s="6">
        <f t="shared" si="6"/>
        <v>1</v>
      </c>
      <c r="F33" s="4">
        <f>E33+F32</f>
        <v>16</v>
      </c>
      <c r="G33" s="27">
        <f t="shared" si="1"/>
        <v>520000</v>
      </c>
      <c r="H33" s="65">
        <v>8259</v>
      </c>
      <c r="I33" s="39">
        <f t="shared" si="7"/>
        <v>334494.13</v>
      </c>
      <c r="J33" s="29">
        <f t="shared" si="2"/>
        <v>0.64325794230769229</v>
      </c>
      <c r="K33" s="91">
        <v>26</v>
      </c>
      <c r="L33" s="71">
        <v>7536.63</v>
      </c>
      <c r="M33" s="71">
        <v>54312.88</v>
      </c>
      <c r="N33" s="71">
        <v>3256.9</v>
      </c>
      <c r="O33" s="71">
        <v>0</v>
      </c>
      <c r="P33" s="71">
        <v>0</v>
      </c>
      <c r="Q33" s="71">
        <v>0</v>
      </c>
      <c r="R33" s="71">
        <v>0</v>
      </c>
      <c r="S33" s="33">
        <f t="shared" si="3"/>
        <v>65106.409999999996</v>
      </c>
      <c r="T33" s="39">
        <f>IF(SUM(S33,T32)="","",SUM(S33,T32))</f>
        <v>555032.37999999989</v>
      </c>
      <c r="U33" s="34">
        <f t="shared" si="8"/>
        <v>1.0673699615384613</v>
      </c>
      <c r="V33" s="76">
        <f t="shared" si="16"/>
        <v>2504.0926923076922</v>
      </c>
      <c r="W33" s="86">
        <f t="shared" si="12"/>
        <v>268596.06</v>
      </c>
      <c r="Y33" s="79">
        <v>-14051.92</v>
      </c>
    </row>
    <row r="34" spans="2:25" ht="20.25" customHeight="1">
      <c r="B34" s="15">
        <f t="shared" si="9"/>
        <v>46137</v>
      </c>
      <c r="C34" s="6" t="str">
        <f t="shared" si="5"/>
        <v>sáb</v>
      </c>
      <c r="D34" s="6">
        <v>6</v>
      </c>
      <c r="E34" s="6">
        <f t="shared" si="6"/>
        <v>0</v>
      </c>
      <c r="F34" s="4">
        <f t="shared" si="14"/>
        <v>16</v>
      </c>
      <c r="G34" s="27">
        <f t="shared" si="1"/>
        <v>520000</v>
      </c>
      <c r="H34" s="65"/>
      <c r="I34" s="39">
        <f t="shared" si="7"/>
        <v>334494.13</v>
      </c>
      <c r="J34" s="29">
        <f t="shared" si="2"/>
        <v>0.64325794230769229</v>
      </c>
      <c r="K34" s="91"/>
      <c r="L34" s="71"/>
      <c r="M34" s="71"/>
      <c r="N34" s="71"/>
      <c r="O34" s="71"/>
      <c r="P34" s="71"/>
      <c r="Q34" s="71"/>
      <c r="R34" s="71"/>
      <c r="S34" s="33">
        <f t="shared" si="3"/>
        <v>0</v>
      </c>
      <c r="T34" s="39">
        <f>IF(SUM(S34,T33)="","",SUM(S34,T33))</f>
        <v>555032.37999999989</v>
      </c>
      <c r="U34" s="34">
        <f t="shared" si="8"/>
        <v>1.0673699615384613</v>
      </c>
      <c r="V34" s="76" t="str">
        <f t="shared" si="16"/>
        <v/>
      </c>
      <c r="W34" s="86">
        <f t="shared" si="12"/>
        <v>268596.06</v>
      </c>
    </row>
    <row r="35" spans="2:25" ht="20.25" customHeight="1">
      <c r="B35" s="15">
        <f t="shared" si="9"/>
        <v>46138</v>
      </c>
      <c r="C35" s="6" t="str">
        <f t="shared" si="5"/>
        <v>dom</v>
      </c>
      <c r="D35" s="6">
        <v>7</v>
      </c>
      <c r="E35" s="6">
        <f t="shared" si="6"/>
        <v>0</v>
      </c>
      <c r="F35" s="4">
        <f t="shared" si="14"/>
        <v>16</v>
      </c>
      <c r="G35" s="27">
        <f t="shared" si="1"/>
        <v>520000</v>
      </c>
      <c r="H35" s="65"/>
      <c r="I35" s="39">
        <f t="shared" si="7"/>
        <v>334494.13</v>
      </c>
      <c r="J35" s="29">
        <f t="shared" si="2"/>
        <v>0.64325794230769229</v>
      </c>
      <c r="K35" s="91"/>
      <c r="L35" s="71"/>
      <c r="M35" s="71"/>
      <c r="N35" s="71"/>
      <c r="O35" s="71"/>
      <c r="P35" s="71"/>
      <c r="Q35" s="71"/>
      <c r="R35" s="71"/>
      <c r="S35" s="33">
        <f t="shared" si="3"/>
        <v>0</v>
      </c>
      <c r="T35" s="39">
        <f t="shared" si="11"/>
        <v>555032.37999999989</v>
      </c>
      <c r="U35" s="34">
        <f t="shared" si="8"/>
        <v>1.0673699615384613</v>
      </c>
      <c r="V35" s="76" t="str">
        <f t="shared" si="16"/>
        <v/>
      </c>
      <c r="W35" s="86">
        <f t="shared" si="12"/>
        <v>268596.06</v>
      </c>
    </row>
    <row r="36" spans="2:25" ht="20.25" customHeight="1">
      <c r="B36" s="15">
        <f t="shared" si="9"/>
        <v>46139</v>
      </c>
      <c r="C36" s="6" t="str">
        <f t="shared" si="5"/>
        <v>seg</v>
      </c>
      <c r="D36" s="6">
        <v>1</v>
      </c>
      <c r="E36" s="6">
        <f t="shared" si="6"/>
        <v>1</v>
      </c>
      <c r="F36" s="4">
        <f t="shared" si="14"/>
        <v>17</v>
      </c>
      <c r="G36" s="27">
        <f t="shared" si="1"/>
        <v>552500</v>
      </c>
      <c r="H36" s="65">
        <v>35858.800000000003</v>
      </c>
      <c r="I36" s="39">
        <f t="shared" si="7"/>
        <v>370352.93</v>
      </c>
      <c r="J36" s="29">
        <f t="shared" si="2"/>
        <v>0.67032204524886874</v>
      </c>
      <c r="K36" s="91">
        <v>13</v>
      </c>
      <c r="L36" s="71">
        <v>14395.35</v>
      </c>
      <c r="M36" s="71">
        <v>15000.2</v>
      </c>
      <c r="N36" s="71">
        <v>2010.96</v>
      </c>
      <c r="O36" s="71">
        <v>0</v>
      </c>
      <c r="P36" s="71">
        <v>0</v>
      </c>
      <c r="Q36" s="71">
        <v>0</v>
      </c>
      <c r="R36" s="71">
        <v>0</v>
      </c>
      <c r="S36" s="33">
        <f t="shared" si="3"/>
        <v>31406.510000000002</v>
      </c>
      <c r="T36" s="39">
        <f t="shared" si="11"/>
        <v>586438.8899999999</v>
      </c>
      <c r="U36" s="34">
        <f t="shared" si="8"/>
        <v>1.0614278552036198</v>
      </c>
      <c r="V36" s="76">
        <f t="shared" si="16"/>
        <v>2415.8853846153847</v>
      </c>
      <c r="W36" s="86">
        <f t="shared" si="12"/>
        <v>264143.77</v>
      </c>
    </row>
    <row r="37" spans="2:25" ht="20.25" customHeight="1">
      <c r="B37" s="15">
        <f t="shared" si="9"/>
        <v>46140</v>
      </c>
      <c r="C37" s="6" t="str">
        <f t="shared" si="5"/>
        <v>ter</v>
      </c>
      <c r="D37" s="6">
        <v>2</v>
      </c>
      <c r="E37" s="6">
        <f t="shared" si="6"/>
        <v>1</v>
      </c>
      <c r="F37" s="4">
        <f t="shared" si="14"/>
        <v>18</v>
      </c>
      <c r="G37" s="27">
        <f t="shared" si="1"/>
        <v>585000</v>
      </c>
      <c r="H37" s="65">
        <v>22972.86</v>
      </c>
      <c r="I37" s="39">
        <f t="shared" si="7"/>
        <v>393325.79</v>
      </c>
      <c r="J37" s="29">
        <f t="shared" si="2"/>
        <v>0.67235177777777777</v>
      </c>
      <c r="K37" s="91">
        <v>7</v>
      </c>
      <c r="L37" s="71">
        <v>1022.62</v>
      </c>
      <c r="M37" s="71">
        <v>3506.56</v>
      </c>
      <c r="N37" s="71">
        <v>950.11</v>
      </c>
      <c r="O37" s="71">
        <v>0</v>
      </c>
      <c r="P37" s="71">
        <v>0</v>
      </c>
      <c r="Q37" s="71">
        <v>0</v>
      </c>
      <c r="R37" s="71">
        <v>0</v>
      </c>
      <c r="S37" s="33">
        <f t="shared" si="3"/>
        <v>5479.29</v>
      </c>
      <c r="T37" s="39">
        <f t="shared" si="11"/>
        <v>591918.17999999993</v>
      </c>
      <c r="U37" s="34">
        <f t="shared" si="8"/>
        <v>1.0118259487179486</v>
      </c>
      <c r="V37" s="76">
        <f t="shared" si="16"/>
        <v>782.75571428571425</v>
      </c>
      <c r="W37" s="86">
        <f>(W36+S37-H37+Y37)</f>
        <v>246650.2</v>
      </c>
    </row>
    <row r="38" spans="2:25" ht="20.25" customHeight="1">
      <c r="B38" s="15">
        <f t="shared" si="9"/>
        <v>46141</v>
      </c>
      <c r="C38" s="6" t="str">
        <f t="shared" si="5"/>
        <v>qua</v>
      </c>
      <c r="D38" s="6">
        <v>3</v>
      </c>
      <c r="E38" s="6">
        <f t="shared" si="6"/>
        <v>1</v>
      </c>
      <c r="F38" s="4">
        <f t="shared" si="14"/>
        <v>19</v>
      </c>
      <c r="G38" s="27">
        <f t="shared" si="1"/>
        <v>617500</v>
      </c>
      <c r="H38" s="65">
        <v>1192.1400000000001</v>
      </c>
      <c r="I38" s="39">
        <f t="shared" si="7"/>
        <v>394517.93</v>
      </c>
      <c r="J38" s="29">
        <f t="shared" si="2"/>
        <v>0.6388954331983806</v>
      </c>
      <c r="K38" s="91">
        <v>5</v>
      </c>
      <c r="L38" s="71">
        <v>0</v>
      </c>
      <c r="M38" s="71">
        <v>11376.73</v>
      </c>
      <c r="N38" s="71">
        <v>0</v>
      </c>
      <c r="O38" s="71">
        <v>2235.56</v>
      </c>
      <c r="P38" s="71">
        <v>0</v>
      </c>
      <c r="Q38" s="71">
        <v>0</v>
      </c>
      <c r="R38" s="71">
        <v>0</v>
      </c>
      <c r="S38" s="33">
        <f t="shared" si="3"/>
        <v>13612.289999999999</v>
      </c>
      <c r="T38" s="39">
        <f t="shared" si="11"/>
        <v>605530.47</v>
      </c>
      <c r="U38" s="34">
        <f t="shared" si="8"/>
        <v>0.98061614574898781</v>
      </c>
      <c r="V38" s="76">
        <f t="shared" si="16"/>
        <v>2722.4579999999996</v>
      </c>
      <c r="W38" s="86">
        <f t="shared" si="12"/>
        <v>259070.35</v>
      </c>
    </row>
    <row r="39" spans="2:25" ht="20.25" customHeight="1">
      <c r="B39" s="15">
        <f t="shared" si="9"/>
        <v>46142</v>
      </c>
      <c r="C39" s="6" t="str">
        <f t="shared" si="5"/>
        <v>qui</v>
      </c>
      <c r="D39" s="6">
        <v>4</v>
      </c>
      <c r="E39" s="6">
        <f t="shared" si="6"/>
        <v>1</v>
      </c>
      <c r="F39" s="4">
        <f t="shared" si="14"/>
        <v>20</v>
      </c>
      <c r="G39" s="27">
        <f t="shared" si="1"/>
        <v>650000</v>
      </c>
      <c r="H39" s="65">
        <v>195331.66</v>
      </c>
      <c r="I39" s="39">
        <f t="shared" si="7"/>
        <v>589849.59</v>
      </c>
      <c r="J39" s="29">
        <f t="shared" si="2"/>
        <v>0.90746090769230769</v>
      </c>
      <c r="K39" s="91">
        <v>4</v>
      </c>
      <c r="L39" s="71">
        <v>0</v>
      </c>
      <c r="M39" s="71">
        <v>11201.05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33">
        <f t="shared" si="3"/>
        <v>11201.05</v>
      </c>
      <c r="T39" s="39">
        <f t="shared" si="11"/>
        <v>616731.52</v>
      </c>
      <c r="U39" s="34">
        <f t="shared" si="8"/>
        <v>0.94881772307692314</v>
      </c>
      <c r="V39" s="76">
        <f t="shared" si="16"/>
        <v>2800.2624999999998</v>
      </c>
      <c r="W39" s="86">
        <f t="shared" si="12"/>
        <v>74939.74000000002</v>
      </c>
    </row>
    <row r="40" spans="2:25" ht="20.25" customHeight="1">
      <c r="B40" s="16">
        <f>B39+1</f>
        <v>46143</v>
      </c>
      <c r="C40" s="17" t="str">
        <f>TEXT(B40,"ddd")</f>
        <v>sex</v>
      </c>
      <c r="D40" s="17">
        <v>2</v>
      </c>
      <c r="E40" s="17">
        <f t="shared" si="6"/>
        <v>1</v>
      </c>
      <c r="F40" s="18">
        <f>E40+F39</f>
        <v>21</v>
      </c>
      <c r="G40" s="28">
        <f>IF(F40&lt;1,"",$H$5*F40)</f>
        <v>682500</v>
      </c>
      <c r="H40" s="67"/>
      <c r="I40" s="44">
        <f t="shared" si="7"/>
        <v>589849.59</v>
      </c>
      <c r="J40" s="30">
        <f t="shared" si="2"/>
        <v>0.86424848351648342</v>
      </c>
      <c r="K40" s="92"/>
      <c r="L40" s="73"/>
      <c r="M40" s="73"/>
      <c r="N40" s="73"/>
      <c r="O40" s="73"/>
      <c r="P40" s="73"/>
      <c r="Q40" s="73"/>
      <c r="R40" s="73"/>
      <c r="S40" s="37">
        <f t="shared" si="3"/>
        <v>0</v>
      </c>
      <c r="T40" s="44">
        <f t="shared" si="11"/>
        <v>616731.52</v>
      </c>
      <c r="U40" s="78">
        <f t="shared" si="8"/>
        <v>0.90363592673992676</v>
      </c>
      <c r="V40" s="77" t="str">
        <f t="shared" si="16"/>
        <v/>
      </c>
      <c r="W40" s="87">
        <f t="shared" si="12"/>
        <v>74939.74000000002</v>
      </c>
    </row>
    <row r="41" spans="2:25" ht="24" customHeight="1"/>
  </sheetData>
  <mergeCells count="16">
    <mergeCell ref="U7:U9"/>
    <mergeCell ref="B2:W2"/>
    <mergeCell ref="B3:W3"/>
    <mergeCell ref="B6:B9"/>
    <mergeCell ref="C6:C9"/>
    <mergeCell ref="G6:G9"/>
    <mergeCell ref="H6:J6"/>
    <mergeCell ref="K6:U6"/>
    <mergeCell ref="V6:V9"/>
    <mergeCell ref="W6:W9"/>
    <mergeCell ref="H7:H9"/>
    <mergeCell ref="I7:I9"/>
    <mergeCell ref="J7:J9"/>
    <mergeCell ref="K7:K9"/>
    <mergeCell ref="S7:S9"/>
    <mergeCell ref="T7:T9"/>
  </mergeCells>
  <conditionalFormatting sqref="C10:C40">
    <cfRule type="cellIs" dxfId="7" priority="1" operator="equal">
      <formula>"dom"</formula>
    </cfRule>
    <cfRule type="cellIs" dxfId="6" priority="2" operator="equal">
      <formula>"sáb"</formula>
    </cfRule>
  </conditionalFormatting>
  <pageMargins left="0.19685039370078741" right="0.19685039370078741" top="0.19685039370078741" bottom="0.19685039370078741" header="0" footer="0"/>
  <pageSetup paperSize="9" scale="55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8C80-3CCA-4278-83D0-E643D3F9AEEE}">
  <sheetPr>
    <pageSetUpPr fitToPage="1"/>
  </sheetPr>
  <dimension ref="B1:AF74"/>
  <sheetViews>
    <sheetView showGridLines="0" zoomScale="70" zoomScaleNormal="70" workbookViewId="0">
      <pane xSplit="7" ySplit="9" topLeftCell="K33" activePane="bottomRight" state="frozen"/>
      <selection pane="bottomRight" activeCell="A13" sqref="A13"/>
      <selection pane="bottomLeft"/>
      <selection pane="topRight"/>
    </sheetView>
  </sheetViews>
  <sheetFormatPr defaultColWidth="15.5703125" defaultRowHeight="14.25" customHeight="1"/>
  <cols>
    <col min="1" max="1" width="1.140625" style="3" customWidth="1"/>
    <col min="2" max="2" width="10.5703125" style="3" customWidth="1"/>
    <col min="3" max="3" width="10.5703125" style="3" hidden="1" customWidth="1"/>
    <col min="4" max="6" width="11.85546875" style="3" hidden="1" customWidth="1"/>
    <col min="7" max="7" width="16.5703125" style="3" customWidth="1"/>
    <col min="8" max="9" width="15.5703125" style="3" customWidth="1"/>
    <col min="10" max="10" width="15.42578125" style="3" customWidth="1"/>
    <col min="11" max="11" width="14.28515625" style="3" customWidth="1"/>
    <col min="12" max="18" width="16.5703125" style="3" customWidth="1"/>
    <col min="19" max="20" width="15.85546875" style="1" customWidth="1"/>
    <col min="21" max="21" width="11.5703125" style="1" customWidth="1"/>
    <col min="22" max="22" width="15.85546875" style="3" customWidth="1"/>
    <col min="23" max="23" width="16.85546875" style="8" bestFit="1" customWidth="1"/>
    <col min="24" max="24" width="1.140625" style="3" customWidth="1"/>
    <col min="25" max="25" width="15.5703125" style="79"/>
    <col min="26" max="16384" width="15.5703125" style="3"/>
  </cols>
  <sheetData>
    <row r="1" spans="2:32" ht="6.95" customHeight="1"/>
    <row r="2" spans="2:32" s="1" customFormat="1" ht="26.25" customHeight="1">
      <c r="B2" s="100" t="s">
        <v>15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2"/>
      <c r="Y2" s="80"/>
    </row>
    <row r="3" spans="2:32" s="1" customFormat="1" ht="26.25" customHeight="1">
      <c r="B3" s="103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5"/>
      <c r="Y3" s="80"/>
    </row>
    <row r="4" spans="2:32" s="1" customFormat="1" ht="26.25" customHeight="1">
      <c r="B4" s="14"/>
      <c r="C4" s="82"/>
      <c r="D4" s="82"/>
      <c r="E4" s="82"/>
      <c r="F4" s="82"/>
      <c r="G4" s="83" t="s">
        <v>17</v>
      </c>
      <c r="H4" s="19">
        <v>800000</v>
      </c>
      <c r="L4" s="84"/>
      <c r="M4" s="84"/>
      <c r="N4" s="84"/>
      <c r="O4" s="84"/>
      <c r="P4" s="84"/>
      <c r="Q4" s="84"/>
      <c r="R4" s="84"/>
      <c r="V4" s="84" t="s">
        <v>18</v>
      </c>
      <c r="W4" s="45">
        <v>20</v>
      </c>
      <c r="Y4" s="80"/>
      <c r="AA4" s="10"/>
      <c r="AB4" s="11"/>
      <c r="AC4" s="12"/>
      <c r="AD4" s="13"/>
      <c r="AE4" s="12"/>
      <c r="AF4" s="13"/>
    </row>
    <row r="5" spans="2:32" s="7" customFormat="1" ht="26.25" customHeight="1">
      <c r="B5" s="21"/>
      <c r="C5" s="22"/>
      <c r="D5" s="22"/>
      <c r="E5" s="22"/>
      <c r="F5" s="22"/>
      <c r="G5" s="23" t="s">
        <v>19</v>
      </c>
      <c r="H5" s="24">
        <f>IF(H4="","",H4/W4)</f>
        <v>40000</v>
      </c>
      <c r="I5" s="22"/>
      <c r="J5" s="22"/>
      <c r="K5" s="22"/>
      <c r="L5" s="25"/>
      <c r="M5" s="25"/>
      <c r="N5" s="25"/>
      <c r="O5" s="25"/>
      <c r="P5" s="25"/>
      <c r="Q5" s="25"/>
      <c r="R5" s="25"/>
      <c r="S5" s="22"/>
      <c r="T5" s="22"/>
      <c r="U5" s="22"/>
      <c r="V5" s="25" t="s">
        <v>20</v>
      </c>
      <c r="W5" s="46">
        <f>$B$10</f>
        <v>46143</v>
      </c>
      <c r="Y5" s="81"/>
    </row>
    <row r="6" spans="2:32" s="1" customFormat="1" ht="33.75" customHeight="1">
      <c r="B6" s="106" t="s">
        <v>21</v>
      </c>
      <c r="C6" s="108" t="s">
        <v>22</v>
      </c>
      <c r="D6" s="20" t="s">
        <v>22</v>
      </c>
      <c r="E6" s="20" t="s">
        <v>23</v>
      </c>
      <c r="F6" s="20" t="s">
        <v>24</v>
      </c>
      <c r="G6" s="108" t="s">
        <v>25</v>
      </c>
      <c r="H6" s="110" t="s">
        <v>4</v>
      </c>
      <c r="I6" s="110"/>
      <c r="J6" s="111"/>
      <c r="K6" s="112" t="s">
        <v>26</v>
      </c>
      <c r="L6" s="113"/>
      <c r="M6" s="113"/>
      <c r="N6" s="113"/>
      <c r="O6" s="113"/>
      <c r="P6" s="113"/>
      <c r="Q6" s="113"/>
      <c r="R6" s="113"/>
      <c r="S6" s="113"/>
      <c r="T6" s="113"/>
      <c r="U6" s="114"/>
      <c r="V6" s="108" t="s">
        <v>27</v>
      </c>
      <c r="W6" s="115" t="s">
        <v>28</v>
      </c>
      <c r="Y6" s="80" t="s">
        <v>29</v>
      </c>
    </row>
    <row r="7" spans="2:32" s="1" customFormat="1" ht="17.25" customHeight="1">
      <c r="B7" s="106"/>
      <c r="C7" s="108"/>
      <c r="D7" s="9"/>
      <c r="E7" s="9"/>
      <c r="F7" s="9"/>
      <c r="G7" s="108"/>
      <c r="H7" s="117" t="s">
        <v>30</v>
      </c>
      <c r="I7" s="119" t="s">
        <v>31</v>
      </c>
      <c r="J7" s="98" t="s">
        <v>32</v>
      </c>
      <c r="K7" s="121" t="s">
        <v>33</v>
      </c>
      <c r="L7" s="35" t="s">
        <v>9</v>
      </c>
      <c r="M7" s="35" t="s">
        <v>34</v>
      </c>
      <c r="N7" s="35" t="s">
        <v>35</v>
      </c>
      <c r="O7" s="35" t="s">
        <v>36</v>
      </c>
      <c r="P7" s="35" t="s">
        <v>37</v>
      </c>
      <c r="Q7" s="35" t="s">
        <v>38</v>
      </c>
      <c r="R7" s="93" t="s">
        <v>42</v>
      </c>
      <c r="S7" s="122" t="s">
        <v>39</v>
      </c>
      <c r="T7" s="125" t="s">
        <v>40</v>
      </c>
      <c r="U7" s="97" t="s">
        <v>32</v>
      </c>
      <c r="V7" s="108"/>
      <c r="W7" s="115"/>
      <c r="Y7" s="80"/>
    </row>
    <row r="8" spans="2:32" s="1" customFormat="1" ht="17.25" customHeight="1">
      <c r="B8" s="106"/>
      <c r="C8" s="108"/>
      <c r="D8" s="20"/>
      <c r="E8" s="20"/>
      <c r="F8" s="20"/>
      <c r="G8" s="108"/>
      <c r="H8" s="117"/>
      <c r="I8" s="119"/>
      <c r="J8" s="98"/>
      <c r="K8" s="119"/>
      <c r="L8" s="63">
        <v>185000</v>
      </c>
      <c r="M8" s="63">
        <v>450000</v>
      </c>
      <c r="N8" s="63">
        <v>35000</v>
      </c>
      <c r="O8" s="63">
        <v>30000</v>
      </c>
      <c r="P8" s="63">
        <v>70000</v>
      </c>
      <c r="Q8" s="63">
        <v>20000</v>
      </c>
      <c r="R8" s="63">
        <v>10000</v>
      </c>
      <c r="S8" s="123"/>
      <c r="T8" s="117"/>
      <c r="U8" s="98"/>
      <c r="V8" s="108"/>
      <c r="W8" s="115"/>
      <c r="Y8" s="80"/>
    </row>
    <row r="9" spans="2:32" s="1" customFormat="1" ht="17.25" customHeight="1">
      <c r="B9" s="107"/>
      <c r="C9" s="109"/>
      <c r="D9" s="20"/>
      <c r="E9" s="20"/>
      <c r="F9" s="20"/>
      <c r="G9" s="109"/>
      <c r="H9" s="118"/>
      <c r="I9" s="120"/>
      <c r="J9" s="99"/>
      <c r="K9" s="120"/>
      <c r="L9" s="38">
        <f t="shared" ref="L9:R9" si="0">IF(L8="","",SUM(L10:L40)/L8)</f>
        <v>0.42925951351351349</v>
      </c>
      <c r="M9" s="38">
        <f t="shared" si="0"/>
        <v>0.5124113555555555</v>
      </c>
      <c r="N9" s="38">
        <f t="shared" si="0"/>
        <v>0.90281228571428573</v>
      </c>
      <c r="O9" s="38">
        <f t="shared" si="0"/>
        <v>0.52969466666666665</v>
      </c>
      <c r="P9" s="38">
        <f t="shared" si="0"/>
        <v>1.7349938571428571</v>
      </c>
      <c r="Q9" s="38">
        <f t="shared" si="0"/>
        <v>0.51577550000000005</v>
      </c>
      <c r="R9" s="38">
        <f t="shared" si="0"/>
        <v>0</v>
      </c>
      <c r="S9" s="124"/>
      <c r="T9" s="118"/>
      <c r="U9" s="99"/>
      <c r="V9" s="109"/>
      <c r="W9" s="116"/>
      <c r="Y9" s="80"/>
    </row>
    <row r="10" spans="2:32" ht="20.25" customHeight="1">
      <c r="B10" s="64">
        <v>46143</v>
      </c>
      <c r="C10" s="5" t="str">
        <f>TEXT(B10,"ddd")</f>
        <v>sex</v>
      </c>
      <c r="D10" s="5" cm="1">
        <f t="array" ref="D10:D39">WEEKDAY($B$10:$B$39,2)</f>
        <v>5</v>
      </c>
      <c r="E10" s="5">
        <v>0</v>
      </c>
      <c r="F10" s="2">
        <f>E10</f>
        <v>0</v>
      </c>
      <c r="G10" s="26" t="str">
        <f t="shared" ref="G10:G39" si="1">IF(F11&lt;1,"",$H$5*F10)</f>
        <v/>
      </c>
      <c r="H10" s="65">
        <v>16945.490000000002</v>
      </c>
      <c r="I10" s="39">
        <f>IF(SUM(H10)="","",SUM(H10))</f>
        <v>16945.490000000002</v>
      </c>
      <c r="J10" s="34" t="e">
        <f t="shared" ref="J10:J40" si="2">IF(I10=0,"",(I10/G10))</f>
        <v>#VALUE!</v>
      </c>
      <c r="K10" s="89"/>
      <c r="L10" s="65"/>
      <c r="M10" s="65"/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33">
        <f t="shared" ref="S10:S40" si="3">IF(SUM(L10:R10)=0,0,SUM(L10:R10))</f>
        <v>0</v>
      </c>
      <c r="T10" s="39">
        <f>IF(SUM(S10)="","",SUM(S10))</f>
        <v>0</v>
      </c>
      <c r="U10" s="34" t="str">
        <f>IF(T10=0,"",(T10/G10))</f>
        <v/>
      </c>
      <c r="V10" s="75" t="str">
        <f t="shared" ref="V10:V22" si="4">IF(K10="","",S10/K10)</f>
        <v/>
      </c>
      <c r="W10" s="85">
        <v>74939.740000000005</v>
      </c>
    </row>
    <row r="11" spans="2:32" ht="20.25" customHeight="1">
      <c r="B11" s="15">
        <f>B10+1</f>
        <v>46144</v>
      </c>
      <c r="C11" s="6" t="str">
        <f t="shared" ref="C11:C39" si="5">TEXT(B11,"ddd")</f>
        <v>sáb</v>
      </c>
      <c r="D11" s="6">
        <v>6</v>
      </c>
      <c r="E11" s="6">
        <f t="shared" ref="E11:E40" si="6">IF(D11&gt;5,0,1)</f>
        <v>0</v>
      </c>
      <c r="F11" s="4">
        <f>E11+F10</f>
        <v>0</v>
      </c>
      <c r="G11" s="27" t="str">
        <f t="shared" si="1"/>
        <v/>
      </c>
      <c r="H11" s="65"/>
      <c r="I11" s="39">
        <f t="shared" ref="I11:I40" si="7">IF(SUM(H11,I10)="","",SUM(H11,I10))</f>
        <v>16945.490000000002</v>
      </c>
      <c r="J11" s="29" t="e">
        <f t="shared" si="2"/>
        <v>#VALUE!</v>
      </c>
      <c r="K11" s="90"/>
      <c r="L11" s="69"/>
      <c r="M11" s="69"/>
      <c r="N11" s="69"/>
      <c r="O11" s="69"/>
      <c r="P11" s="69"/>
      <c r="Q11" s="69"/>
      <c r="R11" s="69"/>
      <c r="S11" s="33">
        <f t="shared" si="3"/>
        <v>0</v>
      </c>
      <c r="T11" s="39">
        <f>IF(SUM(S11,T10)="","",SUM(S11,T10))</f>
        <v>0</v>
      </c>
      <c r="U11" s="34" t="str">
        <f t="shared" ref="U11:U40" si="8">IF(T11=0,"",T11/G11)</f>
        <v/>
      </c>
      <c r="V11" s="76" t="str">
        <f t="shared" si="4"/>
        <v/>
      </c>
      <c r="W11" s="86">
        <f>(W10+S11-H11+Y11)</f>
        <v>74939.740000000005</v>
      </c>
    </row>
    <row r="12" spans="2:32" ht="20.25" customHeight="1">
      <c r="B12" s="15">
        <f t="shared" ref="B12:B39" si="9">B11+1</f>
        <v>46145</v>
      </c>
      <c r="C12" s="6" t="str">
        <f>TEXT(B12,"ddd")</f>
        <v>dom</v>
      </c>
      <c r="D12" s="6">
        <v>7</v>
      </c>
      <c r="E12" s="6">
        <f t="shared" si="6"/>
        <v>0</v>
      </c>
      <c r="F12" s="4">
        <f t="shared" ref="F12:F13" si="10">E12+F11</f>
        <v>0</v>
      </c>
      <c r="G12" s="27">
        <f t="shared" si="1"/>
        <v>0</v>
      </c>
      <c r="H12" s="65"/>
      <c r="I12" s="39">
        <f t="shared" si="7"/>
        <v>16945.490000000002</v>
      </c>
      <c r="J12" s="29" t="e">
        <f t="shared" si="2"/>
        <v>#DIV/0!</v>
      </c>
      <c r="K12" s="90"/>
      <c r="L12" s="69"/>
      <c r="M12" s="69"/>
      <c r="N12" s="69"/>
      <c r="O12" s="69"/>
      <c r="P12" s="69"/>
      <c r="Q12" s="69"/>
      <c r="R12" s="69"/>
      <c r="S12" s="33">
        <f>IF(SUM(L12:R12)=0,0,SUM(L12:R12))</f>
        <v>0</v>
      </c>
      <c r="T12" s="39">
        <f t="shared" ref="T12:T40" si="11">IF(SUM(S12,T11)="","",SUM(S12,T11))</f>
        <v>0</v>
      </c>
      <c r="U12" s="34" t="str">
        <f t="shared" si="8"/>
        <v/>
      </c>
      <c r="V12" s="76" t="str">
        <f t="shared" si="4"/>
        <v/>
      </c>
      <c r="W12" s="86">
        <f t="shared" ref="W12:W40" si="12">(W11+S12-H12+Y12)</f>
        <v>74939.740000000005</v>
      </c>
    </row>
    <row r="13" spans="2:32" ht="20.25" customHeight="1">
      <c r="B13" s="15">
        <f t="shared" si="9"/>
        <v>46146</v>
      </c>
      <c r="C13" s="6" t="str">
        <f t="shared" si="5"/>
        <v>seg</v>
      </c>
      <c r="D13" s="6">
        <v>1</v>
      </c>
      <c r="E13" s="6">
        <f t="shared" si="6"/>
        <v>1</v>
      </c>
      <c r="F13" s="4">
        <f t="shared" si="10"/>
        <v>1</v>
      </c>
      <c r="G13" s="27">
        <f t="shared" si="1"/>
        <v>40000</v>
      </c>
      <c r="H13" s="65">
        <v>0</v>
      </c>
      <c r="I13" s="39">
        <f t="shared" si="7"/>
        <v>16945.490000000002</v>
      </c>
      <c r="J13" s="29">
        <f t="shared" si="2"/>
        <v>0.42363725000000002</v>
      </c>
      <c r="K13" s="90">
        <v>6</v>
      </c>
      <c r="L13" s="69">
        <v>334.28</v>
      </c>
      <c r="M13" s="69">
        <v>5060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33">
        <f t="shared" si="3"/>
        <v>5394.28</v>
      </c>
      <c r="T13" s="39">
        <f t="shared" si="11"/>
        <v>5394.28</v>
      </c>
      <c r="U13" s="34">
        <f t="shared" si="8"/>
        <v>0.134857</v>
      </c>
      <c r="V13" s="76">
        <f t="shared" si="4"/>
        <v>899.04666666666662</v>
      </c>
      <c r="W13" s="86">
        <f t="shared" si="12"/>
        <v>80334.02</v>
      </c>
    </row>
    <row r="14" spans="2:32" ht="20.25" customHeight="1">
      <c r="B14" s="15">
        <f>B13+1</f>
        <v>46147</v>
      </c>
      <c r="C14" s="6" t="str">
        <f>TEXT(B14,"ddd")</f>
        <v>ter</v>
      </c>
      <c r="D14" s="6">
        <v>2</v>
      </c>
      <c r="E14" s="6">
        <f t="shared" si="6"/>
        <v>1</v>
      </c>
      <c r="F14" s="4">
        <f>F13+E14</f>
        <v>2</v>
      </c>
      <c r="G14" s="27">
        <f t="shared" si="1"/>
        <v>80000</v>
      </c>
      <c r="H14" s="65">
        <v>566.88</v>
      </c>
      <c r="I14" s="39">
        <f t="shared" si="7"/>
        <v>17512.370000000003</v>
      </c>
      <c r="J14" s="29">
        <f t="shared" si="2"/>
        <v>0.21890462500000002</v>
      </c>
      <c r="K14" s="90">
        <v>7</v>
      </c>
      <c r="L14" s="69">
        <v>9196.61</v>
      </c>
      <c r="M14" s="69">
        <v>5502.42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33">
        <f>IF(SUM(L14:R14)=0,0,SUM(L14:R14))</f>
        <v>14699.03</v>
      </c>
      <c r="T14" s="39">
        <f>IF(SUM(S14,T13)="","",SUM(S14,T13))</f>
        <v>20093.310000000001</v>
      </c>
      <c r="U14" s="34">
        <f t="shared" si="8"/>
        <v>0.251166375</v>
      </c>
      <c r="V14" s="76">
        <f t="shared" si="4"/>
        <v>2099.8614285714289</v>
      </c>
      <c r="W14" s="86">
        <f t="shared" si="12"/>
        <v>94466.17</v>
      </c>
    </row>
    <row r="15" spans="2:32" ht="20.25" customHeight="1">
      <c r="B15" s="15">
        <f>B14+1</f>
        <v>46148</v>
      </c>
      <c r="C15" s="6" t="str">
        <f t="shared" si="5"/>
        <v>qua</v>
      </c>
      <c r="D15" s="6">
        <v>3</v>
      </c>
      <c r="E15" s="6">
        <f t="shared" si="6"/>
        <v>1</v>
      </c>
      <c r="F15" s="4">
        <f>F14+E15</f>
        <v>3</v>
      </c>
      <c r="G15" s="27">
        <f t="shared" si="1"/>
        <v>120000</v>
      </c>
      <c r="H15" s="65">
        <v>7451.4</v>
      </c>
      <c r="I15" s="39">
        <f t="shared" si="7"/>
        <v>24963.770000000004</v>
      </c>
      <c r="J15" s="29">
        <f t="shared" si="2"/>
        <v>0.20803141666666669</v>
      </c>
      <c r="K15" s="90">
        <v>14</v>
      </c>
      <c r="L15" s="69">
        <v>11854.96</v>
      </c>
      <c r="M15" s="69">
        <v>23094.29</v>
      </c>
      <c r="N15" s="69">
        <v>1900.22</v>
      </c>
      <c r="O15" s="69">
        <v>0</v>
      </c>
      <c r="P15" s="69">
        <v>0</v>
      </c>
      <c r="Q15" s="69">
        <v>0</v>
      </c>
      <c r="R15" s="69">
        <v>0</v>
      </c>
      <c r="S15" s="33">
        <f>IF(SUM(L15:R15)=0,0,SUM(L15:R15))</f>
        <v>36849.47</v>
      </c>
      <c r="T15" s="39">
        <f>IF(SUM(S15,T14)="","",SUM(S15,T14))</f>
        <v>56942.78</v>
      </c>
      <c r="U15" s="34">
        <f t="shared" si="8"/>
        <v>0.47452316666666666</v>
      </c>
      <c r="V15" s="76">
        <f t="shared" si="4"/>
        <v>2632.105</v>
      </c>
      <c r="W15" s="86">
        <f t="shared" si="12"/>
        <v>123864.24000000002</v>
      </c>
    </row>
    <row r="16" spans="2:32" ht="20.25" customHeight="1">
      <c r="B16" s="15">
        <f t="shared" si="9"/>
        <v>46149</v>
      </c>
      <c r="C16" s="6" t="str">
        <f t="shared" si="5"/>
        <v>qui</v>
      </c>
      <c r="D16" s="6">
        <v>4</v>
      </c>
      <c r="E16" s="6">
        <f t="shared" si="6"/>
        <v>1</v>
      </c>
      <c r="F16" s="4">
        <f t="shared" ref="F16:F20" si="13">F15+E16</f>
        <v>4</v>
      </c>
      <c r="G16" s="27">
        <f t="shared" si="1"/>
        <v>160000</v>
      </c>
      <c r="H16" s="65">
        <v>33205.39</v>
      </c>
      <c r="I16" s="39">
        <f t="shared" si="7"/>
        <v>58169.16</v>
      </c>
      <c r="J16" s="29">
        <f t="shared" si="2"/>
        <v>0.36355725</v>
      </c>
      <c r="K16" s="90">
        <v>18</v>
      </c>
      <c r="L16" s="69">
        <v>3588</v>
      </c>
      <c r="M16" s="69">
        <v>8031.65</v>
      </c>
      <c r="N16" s="69">
        <v>12968.82</v>
      </c>
      <c r="O16" s="69">
        <v>0</v>
      </c>
      <c r="P16" s="69">
        <v>0</v>
      </c>
      <c r="Q16" s="69">
        <v>2128.75</v>
      </c>
      <c r="R16" s="69">
        <v>0</v>
      </c>
      <c r="S16" s="33">
        <f t="shared" si="3"/>
        <v>26717.22</v>
      </c>
      <c r="T16" s="39">
        <f t="shared" si="11"/>
        <v>83660</v>
      </c>
      <c r="U16" s="34">
        <f t="shared" si="8"/>
        <v>0.52287499999999998</v>
      </c>
      <c r="V16" s="76">
        <f t="shared" si="4"/>
        <v>1484.29</v>
      </c>
      <c r="W16" s="86">
        <f t="shared" si="12"/>
        <v>117376.07000000002</v>
      </c>
    </row>
    <row r="17" spans="2:23" ht="20.25" customHeight="1">
      <c r="B17" s="15">
        <f t="shared" si="9"/>
        <v>46150</v>
      </c>
      <c r="C17" s="6" t="str">
        <f t="shared" si="5"/>
        <v>sex</v>
      </c>
      <c r="D17" s="6">
        <v>5</v>
      </c>
      <c r="E17" s="6">
        <f t="shared" si="6"/>
        <v>1</v>
      </c>
      <c r="F17" s="4">
        <f t="shared" si="13"/>
        <v>5</v>
      </c>
      <c r="G17" s="27">
        <f t="shared" si="1"/>
        <v>200000</v>
      </c>
      <c r="H17" s="65">
        <v>15575.74</v>
      </c>
      <c r="I17" s="39">
        <f t="shared" si="7"/>
        <v>73744.900000000009</v>
      </c>
      <c r="J17" s="29">
        <f t="shared" si="2"/>
        <v>0.36872450000000007</v>
      </c>
      <c r="K17" s="90">
        <v>12</v>
      </c>
      <c r="L17" s="69">
        <v>5176</v>
      </c>
      <c r="M17" s="69">
        <v>7294.13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33">
        <f t="shared" si="3"/>
        <v>12470.130000000001</v>
      </c>
      <c r="T17" s="39">
        <f t="shared" si="11"/>
        <v>96130.13</v>
      </c>
      <c r="U17" s="34">
        <f t="shared" si="8"/>
        <v>0.48065065000000001</v>
      </c>
      <c r="V17" s="76">
        <f t="shared" si="4"/>
        <v>1039.1775</v>
      </c>
      <c r="W17" s="86">
        <f t="shared" si="12"/>
        <v>114270.46000000002</v>
      </c>
    </row>
    <row r="18" spans="2:23" ht="20.25" customHeight="1">
      <c r="B18" s="15">
        <f t="shared" si="9"/>
        <v>46151</v>
      </c>
      <c r="C18" s="6" t="str">
        <f t="shared" si="5"/>
        <v>sáb</v>
      </c>
      <c r="D18" s="6">
        <v>6</v>
      </c>
      <c r="E18" s="6">
        <f t="shared" si="6"/>
        <v>0</v>
      </c>
      <c r="F18" s="4">
        <f t="shared" si="13"/>
        <v>5</v>
      </c>
      <c r="G18" s="27">
        <f t="shared" si="1"/>
        <v>200000</v>
      </c>
      <c r="H18" s="65"/>
      <c r="I18" s="39">
        <f t="shared" si="7"/>
        <v>73744.900000000009</v>
      </c>
      <c r="J18" s="29">
        <f t="shared" si="2"/>
        <v>0.36872450000000007</v>
      </c>
      <c r="K18" s="90"/>
      <c r="L18" s="69"/>
      <c r="M18" s="69"/>
      <c r="N18" s="69"/>
      <c r="O18" s="69"/>
      <c r="P18" s="69"/>
      <c r="Q18" s="69"/>
      <c r="R18" s="69"/>
      <c r="S18" s="33"/>
      <c r="T18" s="39">
        <f t="shared" si="11"/>
        <v>96130.13</v>
      </c>
      <c r="U18" s="34">
        <f t="shared" si="8"/>
        <v>0.48065065000000001</v>
      </c>
      <c r="V18" s="76" t="str">
        <f t="shared" si="4"/>
        <v/>
      </c>
      <c r="W18" s="86">
        <f t="shared" si="12"/>
        <v>114270.46000000002</v>
      </c>
    </row>
    <row r="19" spans="2:23" ht="20.25" customHeight="1">
      <c r="B19" s="15">
        <f t="shared" si="9"/>
        <v>46152</v>
      </c>
      <c r="C19" s="6" t="str">
        <f t="shared" si="5"/>
        <v>dom</v>
      </c>
      <c r="D19" s="6">
        <v>7</v>
      </c>
      <c r="E19" s="6">
        <f t="shared" si="6"/>
        <v>0</v>
      </c>
      <c r="F19" s="4">
        <f t="shared" si="13"/>
        <v>5</v>
      </c>
      <c r="G19" s="27">
        <f t="shared" si="1"/>
        <v>200000</v>
      </c>
      <c r="H19" s="65"/>
      <c r="I19" s="39">
        <f t="shared" si="7"/>
        <v>73744.900000000009</v>
      </c>
      <c r="J19" s="29">
        <f t="shared" si="2"/>
        <v>0.36872450000000007</v>
      </c>
      <c r="K19" s="90"/>
      <c r="L19" s="69"/>
      <c r="M19" s="69"/>
      <c r="N19" s="69"/>
      <c r="O19" s="88"/>
      <c r="P19" s="69"/>
      <c r="Q19" s="69"/>
      <c r="R19" s="69"/>
      <c r="S19" s="33">
        <f t="shared" si="3"/>
        <v>0</v>
      </c>
      <c r="T19" s="39">
        <f t="shared" si="11"/>
        <v>96130.13</v>
      </c>
      <c r="U19" s="34">
        <f t="shared" si="8"/>
        <v>0.48065065000000001</v>
      </c>
      <c r="V19" s="76" t="str">
        <f t="shared" si="4"/>
        <v/>
      </c>
      <c r="W19" s="86">
        <f t="shared" si="12"/>
        <v>114270.46000000002</v>
      </c>
    </row>
    <row r="20" spans="2:23" ht="20.25" customHeight="1">
      <c r="B20" s="15">
        <f t="shared" si="9"/>
        <v>46153</v>
      </c>
      <c r="C20" s="6" t="str">
        <f t="shared" si="5"/>
        <v>seg</v>
      </c>
      <c r="D20" s="6">
        <v>1</v>
      </c>
      <c r="E20" s="6">
        <f t="shared" si="6"/>
        <v>1</v>
      </c>
      <c r="F20" s="4">
        <f t="shared" si="13"/>
        <v>6</v>
      </c>
      <c r="G20" s="27">
        <f t="shared" si="1"/>
        <v>240000</v>
      </c>
      <c r="H20" s="65">
        <v>4645.34</v>
      </c>
      <c r="I20" s="39">
        <f t="shared" si="7"/>
        <v>78390.240000000005</v>
      </c>
      <c r="J20" s="29">
        <f t="shared" si="2"/>
        <v>0.32662600000000003</v>
      </c>
      <c r="K20" s="91">
        <v>4</v>
      </c>
      <c r="L20" s="69">
        <v>9835.3799999999992</v>
      </c>
      <c r="M20" s="69">
        <v>2318.65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33">
        <f t="shared" si="3"/>
        <v>12154.029999999999</v>
      </c>
      <c r="T20" s="39">
        <f t="shared" si="11"/>
        <v>108284.16</v>
      </c>
      <c r="U20" s="34">
        <f t="shared" si="8"/>
        <v>0.45118400000000003</v>
      </c>
      <c r="V20" s="76">
        <f t="shared" si="4"/>
        <v>3038.5074999999997</v>
      </c>
      <c r="W20" s="86">
        <f t="shared" si="12"/>
        <v>121779.15000000002</v>
      </c>
    </row>
    <row r="21" spans="2:23" ht="20.25" customHeight="1">
      <c r="B21" s="15">
        <f t="shared" si="9"/>
        <v>46154</v>
      </c>
      <c r="C21" s="6" t="str">
        <f t="shared" si="5"/>
        <v>ter</v>
      </c>
      <c r="D21" s="6">
        <v>2</v>
      </c>
      <c r="E21" s="6">
        <f t="shared" si="6"/>
        <v>1</v>
      </c>
      <c r="F21" s="4">
        <f t="shared" ref="F21:F39" si="14">E21+F20</f>
        <v>7</v>
      </c>
      <c r="G21" s="27">
        <f t="shared" si="1"/>
        <v>280000</v>
      </c>
      <c r="H21" s="65">
        <v>1416.12</v>
      </c>
      <c r="I21" s="39">
        <f t="shared" si="7"/>
        <v>79806.36</v>
      </c>
      <c r="J21" s="29">
        <f t="shared" si="2"/>
        <v>0.2850227142857143</v>
      </c>
      <c r="K21" s="91">
        <v>18</v>
      </c>
      <c r="L21" s="71">
        <v>463.12</v>
      </c>
      <c r="M21" s="71">
        <v>11455.63</v>
      </c>
      <c r="N21" s="71">
        <v>2150.06</v>
      </c>
      <c r="O21" s="71">
        <v>3686.87</v>
      </c>
      <c r="P21" s="71">
        <v>0</v>
      </c>
      <c r="Q21" s="71">
        <v>3754.93</v>
      </c>
      <c r="R21" s="71">
        <v>0</v>
      </c>
      <c r="S21" s="33">
        <f t="shared" si="3"/>
        <v>21510.61</v>
      </c>
      <c r="T21" s="39">
        <f t="shared" si="11"/>
        <v>129794.77</v>
      </c>
      <c r="U21" s="34">
        <f t="shared" si="8"/>
        <v>0.46355275000000001</v>
      </c>
      <c r="V21" s="76">
        <f t="shared" si="4"/>
        <v>1195.0338888888889</v>
      </c>
      <c r="W21" s="86">
        <f t="shared" si="12"/>
        <v>141873.64000000001</v>
      </c>
    </row>
    <row r="22" spans="2:23" ht="20.25" customHeight="1">
      <c r="B22" s="15">
        <f t="shared" si="9"/>
        <v>46155</v>
      </c>
      <c r="C22" s="6" t="str">
        <f t="shared" si="5"/>
        <v>qua</v>
      </c>
      <c r="D22" s="6">
        <v>3</v>
      </c>
      <c r="E22" s="6">
        <f t="shared" si="6"/>
        <v>1</v>
      </c>
      <c r="F22" s="4">
        <f t="shared" si="14"/>
        <v>8</v>
      </c>
      <c r="G22" s="27">
        <f t="shared" si="1"/>
        <v>320000</v>
      </c>
      <c r="H22" s="65">
        <v>34433.54</v>
      </c>
      <c r="I22" s="39">
        <f t="shared" si="7"/>
        <v>114239.9</v>
      </c>
      <c r="J22" s="29">
        <f t="shared" si="2"/>
        <v>0.3569996875</v>
      </c>
      <c r="K22" s="91">
        <v>11</v>
      </c>
      <c r="L22" s="71">
        <v>2327.4</v>
      </c>
      <c r="M22" s="71">
        <v>9707.1299999999992</v>
      </c>
      <c r="N22" s="71">
        <v>2598</v>
      </c>
      <c r="O22" s="71">
        <v>0</v>
      </c>
      <c r="P22" s="71">
        <v>0</v>
      </c>
      <c r="Q22" s="71">
        <v>0</v>
      </c>
      <c r="R22" s="71">
        <v>0</v>
      </c>
      <c r="S22" s="33">
        <f t="shared" si="3"/>
        <v>14632.529999999999</v>
      </c>
      <c r="T22" s="39">
        <f t="shared" si="11"/>
        <v>144427.29999999999</v>
      </c>
      <c r="U22" s="34">
        <f t="shared" si="8"/>
        <v>0.45133531249999997</v>
      </c>
      <c r="V22" s="76">
        <f t="shared" si="4"/>
        <v>1330.2299999999998</v>
      </c>
      <c r="W22" s="86">
        <f t="shared" si="12"/>
        <v>122072.63</v>
      </c>
    </row>
    <row r="23" spans="2:23" ht="20.25" customHeight="1">
      <c r="B23" s="15">
        <f t="shared" si="9"/>
        <v>46156</v>
      </c>
      <c r="C23" s="6" t="str">
        <f t="shared" si="5"/>
        <v>qui</v>
      </c>
      <c r="D23" s="6">
        <v>4</v>
      </c>
      <c r="E23" s="6">
        <f t="shared" si="6"/>
        <v>1</v>
      </c>
      <c r="F23" s="4">
        <f t="shared" si="14"/>
        <v>9</v>
      </c>
      <c r="G23" s="27">
        <f t="shared" si="1"/>
        <v>360000</v>
      </c>
      <c r="H23" s="65">
        <v>53416.480000000003</v>
      </c>
      <c r="I23" s="39">
        <f t="shared" si="7"/>
        <v>167656.38</v>
      </c>
      <c r="J23" s="29">
        <f t="shared" si="2"/>
        <v>0.4657121666666667</v>
      </c>
      <c r="K23" s="91">
        <v>5</v>
      </c>
      <c r="L23" s="71">
        <v>0</v>
      </c>
      <c r="M23" s="71">
        <v>8774.49</v>
      </c>
      <c r="N23" s="71">
        <v>1834.9</v>
      </c>
      <c r="O23" s="71">
        <v>0</v>
      </c>
      <c r="P23" s="71">
        <v>0</v>
      </c>
      <c r="Q23" s="71">
        <v>0</v>
      </c>
      <c r="R23" s="71">
        <v>0</v>
      </c>
      <c r="S23" s="33">
        <f t="shared" si="3"/>
        <v>10609.39</v>
      </c>
      <c r="T23" s="39">
        <f t="shared" si="11"/>
        <v>155036.69</v>
      </c>
      <c r="U23" s="34">
        <f t="shared" si="8"/>
        <v>0.43065747222222223</v>
      </c>
      <c r="V23" s="76">
        <f t="shared" ref="V23:V29" si="15">IF(K23="","",S23/K23)</f>
        <v>2121.8779999999997</v>
      </c>
      <c r="W23" s="86">
        <f t="shared" si="12"/>
        <v>79265.540000000008</v>
      </c>
    </row>
    <row r="24" spans="2:23" ht="20.25" customHeight="1">
      <c r="B24" s="15">
        <f>B23+1</f>
        <v>46157</v>
      </c>
      <c r="C24" s="6" t="str">
        <f t="shared" si="5"/>
        <v>sex</v>
      </c>
      <c r="D24" s="6">
        <v>5</v>
      </c>
      <c r="E24" s="6">
        <f t="shared" si="6"/>
        <v>1</v>
      </c>
      <c r="F24" s="4">
        <f>E24+F23</f>
        <v>10</v>
      </c>
      <c r="G24" s="27">
        <f t="shared" si="1"/>
        <v>400000</v>
      </c>
      <c r="H24" s="65">
        <v>0</v>
      </c>
      <c r="I24" s="39">
        <f t="shared" si="7"/>
        <v>167656.38</v>
      </c>
      <c r="J24" s="29">
        <f t="shared" si="2"/>
        <v>0.41914095000000001</v>
      </c>
      <c r="K24" s="91">
        <v>7</v>
      </c>
      <c r="L24" s="71">
        <v>493.8</v>
      </c>
      <c r="M24" s="71">
        <v>12888.1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33">
        <f t="shared" si="3"/>
        <v>13381.9</v>
      </c>
      <c r="T24" s="39">
        <f t="shared" si="11"/>
        <v>168418.59</v>
      </c>
      <c r="U24" s="34">
        <f t="shared" si="8"/>
        <v>0.42104647499999998</v>
      </c>
      <c r="V24" s="76">
        <f t="shared" si="15"/>
        <v>1911.7</v>
      </c>
      <c r="W24" s="86">
        <v>59033.23</v>
      </c>
    </row>
    <row r="25" spans="2:23" ht="20.25" customHeight="1">
      <c r="B25" s="15">
        <f>B24+1</f>
        <v>46158</v>
      </c>
      <c r="C25" s="6" t="str">
        <f t="shared" si="5"/>
        <v>sáb</v>
      </c>
      <c r="D25" s="6">
        <v>6</v>
      </c>
      <c r="E25" s="6">
        <f t="shared" si="6"/>
        <v>0</v>
      </c>
      <c r="F25" s="4">
        <f>E25+F24</f>
        <v>10</v>
      </c>
      <c r="G25" s="27">
        <f t="shared" si="1"/>
        <v>400000</v>
      </c>
      <c r="H25" s="65"/>
      <c r="I25" s="39">
        <f t="shared" si="7"/>
        <v>167656.38</v>
      </c>
      <c r="J25" s="29">
        <f t="shared" si="2"/>
        <v>0.41914095000000001</v>
      </c>
      <c r="K25" s="91"/>
      <c r="L25" s="71"/>
      <c r="M25" s="71"/>
      <c r="N25" s="71"/>
      <c r="O25" s="71"/>
      <c r="P25" s="71"/>
      <c r="Q25" s="71"/>
      <c r="R25" s="71"/>
      <c r="S25" s="33">
        <f>IF(SUM(L25:R25)=0,0,SUM(L25:R25))</f>
        <v>0</v>
      </c>
      <c r="T25" s="39">
        <f t="shared" si="11"/>
        <v>168418.59</v>
      </c>
      <c r="U25" s="34">
        <f t="shared" si="8"/>
        <v>0.42104647499999998</v>
      </c>
      <c r="V25" s="76" t="str">
        <f t="shared" si="15"/>
        <v/>
      </c>
      <c r="W25" s="86">
        <f t="shared" si="12"/>
        <v>59033.23</v>
      </c>
    </row>
    <row r="26" spans="2:23" ht="20.25" customHeight="1">
      <c r="B26" s="15">
        <f t="shared" si="9"/>
        <v>46159</v>
      </c>
      <c r="C26" s="6" t="str">
        <f t="shared" si="5"/>
        <v>dom</v>
      </c>
      <c r="D26" s="6">
        <v>7</v>
      </c>
      <c r="E26" s="6">
        <f t="shared" si="6"/>
        <v>0</v>
      </c>
      <c r="F26" s="4">
        <f>E26+F25</f>
        <v>10</v>
      </c>
      <c r="G26" s="27">
        <f t="shared" si="1"/>
        <v>400000</v>
      </c>
      <c r="H26" s="65"/>
      <c r="I26" s="39">
        <f t="shared" si="7"/>
        <v>167656.38</v>
      </c>
      <c r="J26" s="29">
        <f t="shared" si="2"/>
        <v>0.41914095000000001</v>
      </c>
      <c r="K26" s="91"/>
      <c r="L26" s="71"/>
      <c r="M26" s="71"/>
      <c r="N26" s="71"/>
      <c r="O26" s="71"/>
      <c r="P26" s="71"/>
      <c r="Q26" s="71"/>
      <c r="R26" s="71"/>
      <c r="S26" s="33">
        <f t="shared" si="3"/>
        <v>0</v>
      </c>
      <c r="T26" s="39">
        <f t="shared" si="11"/>
        <v>168418.59</v>
      </c>
      <c r="U26" s="34">
        <f t="shared" si="8"/>
        <v>0.42104647499999998</v>
      </c>
      <c r="V26" s="76" t="str">
        <f t="shared" si="15"/>
        <v/>
      </c>
      <c r="W26" s="86">
        <f t="shared" si="12"/>
        <v>59033.23</v>
      </c>
    </row>
    <row r="27" spans="2:23" ht="20.25" customHeight="1">
      <c r="B27" s="15">
        <f t="shared" si="9"/>
        <v>46160</v>
      </c>
      <c r="C27" s="6" t="str">
        <f t="shared" si="5"/>
        <v>seg</v>
      </c>
      <c r="D27" s="6">
        <v>1</v>
      </c>
      <c r="E27" s="6">
        <f t="shared" si="6"/>
        <v>1</v>
      </c>
      <c r="F27" s="4">
        <f t="shared" si="14"/>
        <v>11</v>
      </c>
      <c r="G27" s="27">
        <f t="shared" si="1"/>
        <v>440000</v>
      </c>
      <c r="H27" s="65">
        <v>6118.76</v>
      </c>
      <c r="I27" s="39">
        <f t="shared" si="7"/>
        <v>173775.14</v>
      </c>
      <c r="J27" s="29">
        <f t="shared" si="2"/>
        <v>0.39494350000000006</v>
      </c>
      <c r="K27" s="91">
        <v>7</v>
      </c>
      <c r="L27" s="71">
        <v>0</v>
      </c>
      <c r="M27" s="71">
        <v>3585.65</v>
      </c>
      <c r="N27" s="71">
        <v>3712.12</v>
      </c>
      <c r="O27" s="71">
        <v>0</v>
      </c>
      <c r="P27" s="71">
        <v>0</v>
      </c>
      <c r="Q27" s="71">
        <v>0</v>
      </c>
      <c r="R27" s="71">
        <v>0</v>
      </c>
      <c r="S27" s="33">
        <f t="shared" si="3"/>
        <v>7297.77</v>
      </c>
      <c r="T27" s="39">
        <f t="shared" si="11"/>
        <v>175716.36</v>
      </c>
      <c r="U27" s="34">
        <f t="shared" si="8"/>
        <v>0.39935536363636359</v>
      </c>
      <c r="V27" s="76">
        <f t="shared" si="15"/>
        <v>1042.5385714285715</v>
      </c>
      <c r="W27" s="86">
        <v>57002.41</v>
      </c>
    </row>
    <row r="28" spans="2:23" ht="20.25" customHeight="1">
      <c r="B28" s="15">
        <f t="shared" si="9"/>
        <v>46161</v>
      </c>
      <c r="C28" s="6" t="str">
        <f t="shared" si="5"/>
        <v>ter</v>
      </c>
      <c r="D28" s="6">
        <v>2</v>
      </c>
      <c r="E28" s="6">
        <f t="shared" si="6"/>
        <v>1</v>
      </c>
      <c r="F28" s="4">
        <f t="shared" si="14"/>
        <v>12</v>
      </c>
      <c r="G28" s="27">
        <f t="shared" si="1"/>
        <v>480000</v>
      </c>
      <c r="H28" s="65">
        <v>8924.67</v>
      </c>
      <c r="I28" s="39">
        <f t="shared" si="7"/>
        <v>182699.81000000003</v>
      </c>
      <c r="J28" s="29">
        <f t="shared" si="2"/>
        <v>0.38062460416666671</v>
      </c>
      <c r="K28" s="91">
        <v>5</v>
      </c>
      <c r="L28" s="71">
        <v>0</v>
      </c>
      <c r="M28" s="71">
        <v>6668.41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33">
        <f t="shared" si="3"/>
        <v>6668.41</v>
      </c>
      <c r="T28" s="39">
        <f t="shared" si="11"/>
        <v>182384.77</v>
      </c>
      <c r="U28" s="34">
        <f t="shared" si="8"/>
        <v>0.37996827083333329</v>
      </c>
      <c r="V28" s="76">
        <f t="shared" si="15"/>
        <v>1333.682</v>
      </c>
      <c r="W28" s="86">
        <f t="shared" si="12"/>
        <v>54746.150000000009</v>
      </c>
    </row>
    <row r="29" spans="2:23" ht="20.25" customHeight="1">
      <c r="B29" s="15">
        <f t="shared" si="9"/>
        <v>46162</v>
      </c>
      <c r="C29" s="6" t="str">
        <f t="shared" si="5"/>
        <v>qua</v>
      </c>
      <c r="D29" s="6">
        <v>3</v>
      </c>
      <c r="E29" s="6">
        <f t="shared" si="6"/>
        <v>1</v>
      </c>
      <c r="F29" s="4">
        <f t="shared" si="14"/>
        <v>13</v>
      </c>
      <c r="G29" s="27">
        <f t="shared" si="1"/>
        <v>520000</v>
      </c>
      <c r="H29" s="65">
        <v>2538.2800000000002</v>
      </c>
      <c r="I29" s="39">
        <f t="shared" si="7"/>
        <v>185238.09000000003</v>
      </c>
      <c r="J29" s="29">
        <f t="shared" si="2"/>
        <v>0.35622709615384618</v>
      </c>
      <c r="K29" s="91">
        <v>8</v>
      </c>
      <c r="L29" s="71">
        <v>2038.08</v>
      </c>
      <c r="M29" s="71">
        <v>9547.25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33">
        <f t="shared" si="3"/>
        <v>11585.33</v>
      </c>
      <c r="T29" s="39">
        <f t="shared" si="11"/>
        <v>193970.09999999998</v>
      </c>
      <c r="U29" s="34">
        <f t="shared" si="8"/>
        <v>0.37301942307692304</v>
      </c>
      <c r="V29" s="76">
        <f t="shared" si="15"/>
        <v>1448.16625</v>
      </c>
      <c r="W29" s="86">
        <f t="shared" si="12"/>
        <v>63793.200000000012</v>
      </c>
    </row>
    <row r="30" spans="2:23" ht="20.25" customHeight="1">
      <c r="B30" s="15">
        <f t="shared" si="9"/>
        <v>46163</v>
      </c>
      <c r="C30" s="6" t="str">
        <f t="shared" si="5"/>
        <v>qui</v>
      </c>
      <c r="D30" s="6">
        <v>4</v>
      </c>
      <c r="E30" s="6">
        <f t="shared" si="6"/>
        <v>1</v>
      </c>
      <c r="F30" s="4">
        <f t="shared" si="14"/>
        <v>14</v>
      </c>
      <c r="G30" s="27">
        <f t="shared" si="1"/>
        <v>560000</v>
      </c>
      <c r="H30" s="65">
        <v>0</v>
      </c>
      <c r="I30" s="39">
        <f t="shared" si="7"/>
        <v>185238.09000000003</v>
      </c>
      <c r="J30" s="29">
        <f t="shared" si="2"/>
        <v>0.33078230357142863</v>
      </c>
      <c r="K30" s="91">
        <v>14</v>
      </c>
      <c r="L30" s="71">
        <v>1968.84</v>
      </c>
      <c r="M30" s="71">
        <v>21088.14</v>
      </c>
      <c r="N30" s="71">
        <v>1453.3</v>
      </c>
      <c r="O30" s="71">
        <v>3328.98</v>
      </c>
      <c r="P30" s="71">
        <v>0</v>
      </c>
      <c r="Q30" s="71">
        <v>0</v>
      </c>
      <c r="R30" s="71">
        <v>0</v>
      </c>
      <c r="S30" s="33">
        <f t="shared" si="3"/>
        <v>27839.26</v>
      </c>
      <c r="T30" s="39">
        <f t="shared" si="11"/>
        <v>221809.36</v>
      </c>
      <c r="U30" s="34">
        <f t="shared" si="8"/>
        <v>0.39608814285714283</v>
      </c>
      <c r="V30" s="76">
        <f t="shared" ref="V30:V40" si="16">IF(K30="","",S30/K30)</f>
        <v>1988.5185714285712</v>
      </c>
      <c r="W30" s="86">
        <f t="shared" si="12"/>
        <v>91632.46</v>
      </c>
    </row>
    <row r="31" spans="2:23" ht="20.25" customHeight="1">
      <c r="B31" s="15">
        <f t="shared" si="9"/>
        <v>46164</v>
      </c>
      <c r="C31" s="6" t="str">
        <f t="shared" si="5"/>
        <v>sex</v>
      </c>
      <c r="D31" s="6">
        <v>5</v>
      </c>
      <c r="E31" s="6">
        <f t="shared" si="6"/>
        <v>1</v>
      </c>
      <c r="F31" s="4">
        <f t="shared" si="14"/>
        <v>15</v>
      </c>
      <c r="G31" s="27">
        <f t="shared" si="1"/>
        <v>600000</v>
      </c>
      <c r="H31" s="65">
        <v>51722.41</v>
      </c>
      <c r="I31" s="39">
        <f t="shared" si="7"/>
        <v>236960.50000000003</v>
      </c>
      <c r="J31" s="29">
        <f t="shared" si="2"/>
        <v>0.3949341666666667</v>
      </c>
      <c r="K31" s="91">
        <v>7</v>
      </c>
      <c r="L31" s="71">
        <v>525.6</v>
      </c>
      <c r="M31" s="71">
        <v>23655.01</v>
      </c>
      <c r="N31" s="71">
        <v>0</v>
      </c>
      <c r="O31" s="71">
        <v>0</v>
      </c>
      <c r="P31" s="71">
        <v>0</v>
      </c>
      <c r="Q31" s="71">
        <v>0</v>
      </c>
      <c r="R31" s="71">
        <v>0</v>
      </c>
      <c r="S31" s="33">
        <f t="shared" si="3"/>
        <v>24180.609999999997</v>
      </c>
      <c r="T31" s="39">
        <f t="shared" si="11"/>
        <v>245989.96999999997</v>
      </c>
      <c r="U31" s="34">
        <f t="shared" si="8"/>
        <v>0.40998328333333328</v>
      </c>
      <c r="V31" s="76">
        <f t="shared" si="16"/>
        <v>3454.3728571428569</v>
      </c>
      <c r="W31" s="86">
        <f t="shared" si="12"/>
        <v>64090.66</v>
      </c>
    </row>
    <row r="32" spans="2:23" ht="20.25" customHeight="1">
      <c r="B32" s="15">
        <f>B31+1</f>
        <v>46165</v>
      </c>
      <c r="C32" s="6" t="str">
        <f t="shared" si="5"/>
        <v>sáb</v>
      </c>
      <c r="D32" s="6">
        <v>6</v>
      </c>
      <c r="E32" s="6">
        <f t="shared" si="6"/>
        <v>0</v>
      </c>
      <c r="F32" s="4">
        <f>E32+F31</f>
        <v>15</v>
      </c>
      <c r="G32" s="27">
        <f t="shared" si="1"/>
        <v>600000</v>
      </c>
      <c r="H32" s="65"/>
      <c r="I32" s="39">
        <f t="shared" si="7"/>
        <v>236960.50000000003</v>
      </c>
      <c r="J32" s="29">
        <f t="shared" si="2"/>
        <v>0.3949341666666667</v>
      </c>
      <c r="K32" s="91"/>
      <c r="L32" s="71"/>
      <c r="M32" s="71"/>
      <c r="N32" s="71"/>
      <c r="O32" s="71"/>
      <c r="P32" s="71"/>
      <c r="Q32" s="71"/>
      <c r="R32" s="71"/>
      <c r="S32" s="33">
        <f t="shared" si="3"/>
        <v>0</v>
      </c>
      <c r="T32" s="39">
        <f>IF(SUM(S32,T31)="","",SUM(S32,T31))</f>
        <v>245989.96999999997</v>
      </c>
      <c r="U32" s="34">
        <f t="shared" si="8"/>
        <v>0.40998328333333328</v>
      </c>
      <c r="V32" s="76" t="str">
        <f t="shared" si="16"/>
        <v/>
      </c>
      <c r="W32" s="86">
        <f t="shared" si="12"/>
        <v>64090.66</v>
      </c>
    </row>
    <row r="33" spans="2:25" ht="20.25" customHeight="1">
      <c r="B33" s="15">
        <f>B32+1</f>
        <v>46166</v>
      </c>
      <c r="C33" s="6" t="str">
        <f t="shared" si="5"/>
        <v>dom</v>
      </c>
      <c r="D33" s="6">
        <v>7</v>
      </c>
      <c r="E33" s="6">
        <f t="shared" si="6"/>
        <v>0</v>
      </c>
      <c r="F33" s="4">
        <f>E33+F32</f>
        <v>15</v>
      </c>
      <c r="G33" s="27">
        <f t="shared" si="1"/>
        <v>600000</v>
      </c>
      <c r="H33" s="65"/>
      <c r="I33" s="39">
        <f t="shared" si="7"/>
        <v>236960.50000000003</v>
      </c>
      <c r="J33" s="29">
        <f t="shared" si="2"/>
        <v>0.3949341666666667</v>
      </c>
      <c r="K33" s="91"/>
      <c r="L33" s="71"/>
      <c r="M33" s="71"/>
      <c r="N33" s="71"/>
      <c r="O33" s="71"/>
      <c r="P33" s="71"/>
      <c r="Q33" s="71"/>
      <c r="R33" s="71"/>
      <c r="S33" s="33">
        <f t="shared" si="3"/>
        <v>0</v>
      </c>
      <c r="T33" s="39">
        <f>IF(SUM(S33,T32)="","",SUM(S33,T32))</f>
        <v>245989.96999999997</v>
      </c>
      <c r="U33" s="34">
        <f t="shared" si="8"/>
        <v>0.40998328333333328</v>
      </c>
      <c r="V33" s="76" t="str">
        <f t="shared" si="16"/>
        <v/>
      </c>
      <c r="W33" s="86">
        <f t="shared" si="12"/>
        <v>50038.740000000005</v>
      </c>
      <c r="Y33" s="79">
        <v>-14051.92</v>
      </c>
    </row>
    <row r="34" spans="2:25" ht="20.25" customHeight="1">
      <c r="B34" s="15">
        <f t="shared" si="9"/>
        <v>46167</v>
      </c>
      <c r="C34" s="6" t="str">
        <f t="shared" si="5"/>
        <v>seg</v>
      </c>
      <c r="D34" s="6">
        <v>1</v>
      </c>
      <c r="E34" s="6">
        <f t="shared" si="6"/>
        <v>1</v>
      </c>
      <c r="F34" s="4">
        <f t="shared" si="14"/>
        <v>16</v>
      </c>
      <c r="G34" s="27">
        <f t="shared" si="1"/>
        <v>640000</v>
      </c>
      <c r="H34" s="65">
        <v>69987.240000000005</v>
      </c>
      <c r="I34" s="39">
        <f t="shared" si="7"/>
        <v>306947.74000000005</v>
      </c>
      <c r="J34" s="29">
        <f t="shared" si="2"/>
        <v>0.47960584375000009</v>
      </c>
      <c r="K34" s="91">
        <v>13</v>
      </c>
      <c r="L34" s="71">
        <v>334.28</v>
      </c>
      <c r="M34" s="71">
        <v>33283.769999999997</v>
      </c>
      <c r="N34" s="71">
        <v>0</v>
      </c>
      <c r="O34" s="71">
        <v>0</v>
      </c>
      <c r="P34" s="71">
        <v>13687.82</v>
      </c>
      <c r="Q34" s="71">
        <v>4431.83</v>
      </c>
      <c r="R34" s="71">
        <v>0</v>
      </c>
      <c r="S34" s="33">
        <f t="shared" si="3"/>
        <v>51737.7</v>
      </c>
      <c r="T34" s="39">
        <f>IF(SUM(S34,T33)="","",SUM(S34,T33))</f>
        <v>297727.67</v>
      </c>
      <c r="U34" s="34">
        <f t="shared" si="8"/>
        <v>0.46519948437499997</v>
      </c>
      <c r="V34" s="76">
        <f t="shared" si="16"/>
        <v>3979.8230769230768</v>
      </c>
      <c r="W34" s="86">
        <f t="shared" si="12"/>
        <v>31789.199999999997</v>
      </c>
    </row>
    <row r="35" spans="2:25" ht="20.25" customHeight="1">
      <c r="B35" s="15">
        <f t="shared" si="9"/>
        <v>46168</v>
      </c>
      <c r="C35" s="6" t="str">
        <f t="shared" si="5"/>
        <v>ter</v>
      </c>
      <c r="D35" s="6">
        <v>2</v>
      </c>
      <c r="E35" s="6">
        <f t="shared" si="6"/>
        <v>1</v>
      </c>
      <c r="F35" s="4">
        <f t="shared" si="14"/>
        <v>17</v>
      </c>
      <c r="G35" s="27">
        <f t="shared" si="1"/>
        <v>680000</v>
      </c>
      <c r="H35" s="65">
        <v>2579.2800000000002</v>
      </c>
      <c r="I35" s="39">
        <f t="shared" si="7"/>
        <v>309527.02000000008</v>
      </c>
      <c r="J35" s="29">
        <f t="shared" si="2"/>
        <v>0.45518679411764718</v>
      </c>
      <c r="K35" s="91">
        <v>14</v>
      </c>
      <c r="L35" s="71">
        <v>5471.42</v>
      </c>
      <c r="M35" s="71">
        <v>9082.99</v>
      </c>
      <c r="N35" s="71">
        <v>0</v>
      </c>
      <c r="O35" s="71">
        <v>7907.49</v>
      </c>
      <c r="P35" s="71">
        <v>0</v>
      </c>
      <c r="Q35" s="71">
        <v>0</v>
      </c>
      <c r="R35" s="71">
        <v>0</v>
      </c>
      <c r="S35" s="33">
        <f t="shared" si="3"/>
        <v>22461.9</v>
      </c>
      <c r="T35" s="39">
        <f t="shared" si="11"/>
        <v>320189.57</v>
      </c>
      <c r="U35" s="34">
        <f t="shared" si="8"/>
        <v>0.47086701470588238</v>
      </c>
      <c r="V35" s="76">
        <f t="shared" si="16"/>
        <v>1604.4214285714286</v>
      </c>
      <c r="W35" s="86">
        <f t="shared" si="12"/>
        <v>51671.82</v>
      </c>
    </row>
    <row r="36" spans="2:25" ht="20.25" customHeight="1">
      <c r="B36" s="15">
        <f t="shared" si="9"/>
        <v>46169</v>
      </c>
      <c r="C36" s="6" t="str">
        <f t="shared" si="5"/>
        <v>qua</v>
      </c>
      <c r="D36" s="6">
        <v>3</v>
      </c>
      <c r="E36" s="6">
        <f t="shared" si="6"/>
        <v>1</v>
      </c>
      <c r="F36" s="4">
        <f t="shared" si="14"/>
        <v>18</v>
      </c>
      <c r="G36" s="27">
        <f t="shared" si="1"/>
        <v>720000</v>
      </c>
      <c r="H36" s="65"/>
      <c r="I36" s="39">
        <f t="shared" si="7"/>
        <v>309527.02000000008</v>
      </c>
      <c r="J36" s="29">
        <f t="shared" si="2"/>
        <v>0.42989863888888902</v>
      </c>
      <c r="K36" s="91">
        <v>9</v>
      </c>
      <c r="L36" s="71">
        <v>20885.04</v>
      </c>
      <c r="M36" s="71">
        <v>9130.5499999999993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33">
        <f t="shared" si="3"/>
        <v>30015.59</v>
      </c>
      <c r="T36" s="39">
        <f t="shared" si="11"/>
        <v>350205.16000000003</v>
      </c>
      <c r="U36" s="34">
        <f t="shared" si="8"/>
        <v>0.4863960555555556</v>
      </c>
      <c r="V36" s="76">
        <f t="shared" si="16"/>
        <v>3335.0655555555554</v>
      </c>
      <c r="W36" s="86">
        <f t="shared" si="12"/>
        <v>81687.41</v>
      </c>
    </row>
    <row r="37" spans="2:25" ht="20.25" customHeight="1">
      <c r="B37" s="15">
        <f t="shared" si="9"/>
        <v>46170</v>
      </c>
      <c r="C37" s="6" t="str">
        <f t="shared" si="5"/>
        <v>qui</v>
      </c>
      <c r="D37" s="6">
        <v>4</v>
      </c>
      <c r="E37" s="6">
        <f t="shared" si="6"/>
        <v>1</v>
      </c>
      <c r="F37" s="4">
        <f t="shared" si="14"/>
        <v>19</v>
      </c>
      <c r="G37" s="27">
        <f t="shared" si="1"/>
        <v>760000</v>
      </c>
      <c r="H37" s="65">
        <v>27654.15</v>
      </c>
      <c r="I37" s="39">
        <f t="shared" si="7"/>
        <v>337181.1700000001</v>
      </c>
      <c r="J37" s="29">
        <f t="shared" si="2"/>
        <v>0.44365943421052645</v>
      </c>
      <c r="K37" s="91">
        <v>18</v>
      </c>
      <c r="L37" s="71">
        <v>0</v>
      </c>
      <c r="M37" s="71">
        <v>16613.54</v>
      </c>
      <c r="N37" s="71">
        <v>4981.01</v>
      </c>
      <c r="O37" s="71">
        <v>967.5</v>
      </c>
      <c r="P37" s="71">
        <v>0</v>
      </c>
      <c r="Q37" s="71">
        <v>0</v>
      </c>
      <c r="R37" s="71">
        <v>0</v>
      </c>
      <c r="S37" s="33">
        <f t="shared" si="3"/>
        <v>22562.050000000003</v>
      </c>
      <c r="T37" s="39">
        <f t="shared" si="11"/>
        <v>372767.21</v>
      </c>
      <c r="U37" s="34">
        <f t="shared" si="8"/>
        <v>0.49048317105263162</v>
      </c>
      <c r="V37" s="76">
        <f t="shared" si="16"/>
        <v>1253.4472222222223</v>
      </c>
      <c r="W37" s="86">
        <f>(W36+S37-H37+Y37)</f>
        <v>76595.31</v>
      </c>
    </row>
    <row r="38" spans="2:25" ht="20.25" customHeight="1">
      <c r="B38" s="15">
        <f t="shared" si="9"/>
        <v>46171</v>
      </c>
      <c r="C38" s="6" t="str">
        <f t="shared" si="5"/>
        <v>sex</v>
      </c>
      <c r="D38" s="6">
        <v>5</v>
      </c>
      <c r="E38" s="6">
        <f t="shared" si="6"/>
        <v>1</v>
      </c>
      <c r="F38" s="4">
        <f t="shared" si="14"/>
        <v>20</v>
      </c>
      <c r="G38" s="27">
        <f t="shared" si="1"/>
        <v>800000</v>
      </c>
      <c r="H38" s="65">
        <v>53046.87</v>
      </c>
      <c r="I38" s="39">
        <f t="shared" si="7"/>
        <v>390228.0400000001</v>
      </c>
      <c r="J38" s="29">
        <f t="shared" si="2"/>
        <v>0.48778505000000011</v>
      </c>
      <c r="K38" s="91">
        <v>3</v>
      </c>
      <c r="L38" s="71">
        <v>4920.2</v>
      </c>
      <c r="M38" s="71">
        <v>3803.31</v>
      </c>
      <c r="N38" s="71">
        <v>0</v>
      </c>
      <c r="O38" s="71">
        <v>0</v>
      </c>
      <c r="P38" s="71">
        <v>107761.75</v>
      </c>
      <c r="Q38" s="71">
        <v>0</v>
      </c>
      <c r="R38" s="71">
        <v>0</v>
      </c>
      <c r="S38" s="33">
        <f t="shared" si="3"/>
        <v>116485.26</v>
      </c>
      <c r="T38" s="39">
        <f t="shared" si="11"/>
        <v>489252.47000000003</v>
      </c>
      <c r="U38" s="34">
        <f t="shared" si="8"/>
        <v>0.61156558750000001</v>
      </c>
      <c r="V38" s="76">
        <f t="shared" si="16"/>
        <v>38828.42</v>
      </c>
      <c r="W38" s="86">
        <f t="shared" si="12"/>
        <v>140033.70000000001</v>
      </c>
    </row>
    <row r="39" spans="2:25" ht="20.25" customHeight="1">
      <c r="B39" s="15">
        <f t="shared" si="9"/>
        <v>46172</v>
      </c>
      <c r="C39" s="6" t="str">
        <f t="shared" si="5"/>
        <v>sáb</v>
      </c>
      <c r="D39" s="6">
        <v>6</v>
      </c>
      <c r="E39" s="6">
        <f t="shared" si="6"/>
        <v>0</v>
      </c>
      <c r="F39" s="4">
        <f t="shared" si="14"/>
        <v>20</v>
      </c>
      <c r="G39" s="27">
        <f t="shared" si="1"/>
        <v>800000</v>
      </c>
      <c r="H39" s="65"/>
      <c r="I39" s="39">
        <f t="shared" si="7"/>
        <v>390228.0400000001</v>
      </c>
      <c r="J39" s="29">
        <f t="shared" si="2"/>
        <v>0.48778505000000011</v>
      </c>
      <c r="K39" s="91"/>
      <c r="L39" s="71"/>
      <c r="M39" s="71"/>
      <c r="N39" s="71"/>
      <c r="O39" s="71"/>
      <c r="P39" s="71"/>
      <c r="Q39" s="71"/>
      <c r="R39" s="71"/>
      <c r="S39" s="33">
        <f t="shared" si="3"/>
        <v>0</v>
      </c>
      <c r="T39" s="39">
        <f t="shared" si="11"/>
        <v>489252.47000000003</v>
      </c>
      <c r="U39" s="34">
        <f t="shared" si="8"/>
        <v>0.61156558750000001</v>
      </c>
      <c r="V39" s="76" t="str">
        <f t="shared" si="16"/>
        <v/>
      </c>
      <c r="W39" s="86">
        <f t="shared" si="12"/>
        <v>140033.70000000001</v>
      </c>
    </row>
    <row r="40" spans="2:25" ht="20.25" customHeight="1">
      <c r="B40" s="16">
        <f>B39+1</f>
        <v>46173</v>
      </c>
      <c r="C40" s="17" t="str">
        <f>TEXT(B40,"ddd")</f>
        <v>dom</v>
      </c>
      <c r="D40" s="17">
        <v>2</v>
      </c>
      <c r="E40" s="6">
        <f t="shared" si="6"/>
        <v>1</v>
      </c>
      <c r="F40" s="18">
        <f>E40+F39</f>
        <v>21</v>
      </c>
      <c r="G40" s="28">
        <f>IF(F40&lt;1,"",$H$5*F40)</f>
        <v>840000</v>
      </c>
      <c r="H40" s="67"/>
      <c r="I40" s="44">
        <f t="shared" si="7"/>
        <v>390228.0400000001</v>
      </c>
      <c r="J40" s="30">
        <f t="shared" si="2"/>
        <v>0.4645571904761906</v>
      </c>
      <c r="K40" s="92"/>
      <c r="L40" s="73"/>
      <c r="M40" s="73"/>
      <c r="N40" s="73"/>
      <c r="O40" s="73"/>
      <c r="P40" s="73"/>
      <c r="Q40" s="73"/>
      <c r="R40" s="73"/>
      <c r="S40" s="37">
        <f t="shared" si="3"/>
        <v>0</v>
      </c>
      <c r="T40" s="44">
        <f t="shared" si="11"/>
        <v>489252.47000000003</v>
      </c>
      <c r="U40" s="78">
        <f t="shared" si="8"/>
        <v>0.58244341666666666</v>
      </c>
      <c r="V40" s="77" t="str">
        <f t="shared" si="16"/>
        <v/>
      </c>
      <c r="W40" s="87">
        <f t="shared" si="12"/>
        <v>140033.70000000001</v>
      </c>
    </row>
    <row r="41" spans="2:25" ht="24" customHeight="1"/>
    <row r="43" spans="2:25" ht="14.25" customHeight="1">
      <c r="H43" s="3" t="s">
        <v>44</v>
      </c>
      <c r="I43" s="3" t="s">
        <v>45</v>
      </c>
      <c r="J43" s="3" t="s">
        <v>46</v>
      </c>
      <c r="K43" s="3" t="s">
        <v>47</v>
      </c>
      <c r="L43" s="3" t="s">
        <v>48</v>
      </c>
    </row>
    <row r="44" spans="2:25" ht="14.25" customHeight="1">
      <c r="H44" s="94">
        <f>B10</f>
        <v>46143</v>
      </c>
      <c r="I44" s="95" t="str">
        <f>G10</f>
        <v/>
      </c>
      <c r="J44" s="95">
        <f>T10</f>
        <v>0</v>
      </c>
      <c r="K44" s="95" t="str">
        <f>IF(I44&gt;J44,"",J44)</f>
        <v/>
      </c>
      <c r="L44" s="95">
        <f t="shared" ref="L44" si="17">IF(I44&lt;J44,"",J44)</f>
        <v>0</v>
      </c>
    </row>
    <row r="45" spans="2:25" ht="14.25" customHeight="1">
      <c r="H45" s="94">
        <f t="shared" ref="H45:H73" si="18">B11</f>
        <v>46144</v>
      </c>
      <c r="I45" s="95" t="str">
        <f t="shared" ref="I45:I73" si="19">G11</f>
        <v/>
      </c>
      <c r="J45" s="95">
        <f t="shared" ref="J45:J73" si="20">T11</f>
        <v>0</v>
      </c>
      <c r="K45" s="95" t="str">
        <f t="shared" ref="K45:K73" si="21">IF(I45&gt;J45,"",J45)</f>
        <v/>
      </c>
      <c r="L45" s="95">
        <f t="shared" ref="L45:L74" si="22">IF(I45&lt;J45,"",J45)</f>
        <v>0</v>
      </c>
    </row>
    <row r="46" spans="2:25" ht="14.25" customHeight="1">
      <c r="H46" s="94">
        <f t="shared" si="18"/>
        <v>46145</v>
      </c>
      <c r="I46" s="95">
        <f t="shared" si="19"/>
        <v>0</v>
      </c>
      <c r="J46" s="95">
        <f t="shared" si="20"/>
        <v>0</v>
      </c>
      <c r="K46" s="95">
        <f t="shared" si="21"/>
        <v>0</v>
      </c>
      <c r="L46" s="95">
        <f t="shared" si="22"/>
        <v>0</v>
      </c>
    </row>
    <row r="47" spans="2:25" ht="14.25" customHeight="1">
      <c r="H47" s="94">
        <f t="shared" si="18"/>
        <v>46146</v>
      </c>
      <c r="I47" s="95">
        <f t="shared" si="19"/>
        <v>40000</v>
      </c>
      <c r="J47" s="95">
        <f t="shared" si="20"/>
        <v>5394.28</v>
      </c>
      <c r="K47" s="95" t="str">
        <f t="shared" ref="K47:K48" si="23">IF(I47&gt;J47,"",J47)</f>
        <v/>
      </c>
      <c r="L47" s="95">
        <f t="shared" ref="L47:L48" si="24">IF(I47&lt;J47,"",J47)</f>
        <v>5394.28</v>
      </c>
    </row>
    <row r="48" spans="2:25" ht="14.25" customHeight="1">
      <c r="H48" s="94">
        <f t="shared" si="18"/>
        <v>46147</v>
      </c>
      <c r="I48" s="95">
        <f t="shared" si="19"/>
        <v>80000</v>
      </c>
      <c r="J48" s="95">
        <f t="shared" si="20"/>
        <v>20093.310000000001</v>
      </c>
      <c r="K48" s="95" t="str">
        <f t="shared" si="23"/>
        <v/>
      </c>
      <c r="L48" s="95">
        <f t="shared" si="24"/>
        <v>20093.310000000001</v>
      </c>
    </row>
    <row r="49" spans="8:12" ht="14.25" customHeight="1">
      <c r="H49" s="94">
        <f t="shared" si="18"/>
        <v>46148</v>
      </c>
      <c r="I49" s="95">
        <f t="shared" si="19"/>
        <v>120000</v>
      </c>
      <c r="J49" s="95">
        <f t="shared" si="20"/>
        <v>56942.78</v>
      </c>
      <c r="K49" s="95" t="str">
        <f t="shared" si="21"/>
        <v/>
      </c>
      <c r="L49" s="95">
        <f t="shared" si="22"/>
        <v>56942.78</v>
      </c>
    </row>
    <row r="50" spans="8:12" ht="14.25" customHeight="1">
      <c r="H50" s="94">
        <f t="shared" si="18"/>
        <v>46149</v>
      </c>
      <c r="I50" s="95">
        <f t="shared" si="19"/>
        <v>160000</v>
      </c>
      <c r="J50" s="95">
        <f t="shared" si="20"/>
        <v>83660</v>
      </c>
      <c r="K50" s="95" t="str">
        <f t="shared" si="21"/>
        <v/>
      </c>
      <c r="L50" s="95">
        <f t="shared" si="22"/>
        <v>83660</v>
      </c>
    </row>
    <row r="51" spans="8:12" ht="14.25" customHeight="1">
      <c r="H51" s="94">
        <f t="shared" si="18"/>
        <v>46150</v>
      </c>
      <c r="I51" s="95">
        <f t="shared" si="19"/>
        <v>200000</v>
      </c>
      <c r="J51" s="95">
        <f t="shared" si="20"/>
        <v>96130.13</v>
      </c>
      <c r="K51" s="95" t="str">
        <f t="shared" si="21"/>
        <v/>
      </c>
      <c r="L51" s="95">
        <f t="shared" si="22"/>
        <v>96130.13</v>
      </c>
    </row>
    <row r="52" spans="8:12" ht="14.25" customHeight="1">
      <c r="H52" s="94">
        <f t="shared" si="18"/>
        <v>46151</v>
      </c>
      <c r="I52" s="95">
        <f t="shared" si="19"/>
        <v>200000</v>
      </c>
      <c r="J52" s="95">
        <f t="shared" si="20"/>
        <v>96130.13</v>
      </c>
      <c r="K52" s="95" t="str">
        <f t="shared" si="21"/>
        <v/>
      </c>
      <c r="L52" s="95">
        <f t="shared" si="22"/>
        <v>96130.13</v>
      </c>
    </row>
    <row r="53" spans="8:12" ht="14.25" customHeight="1">
      <c r="H53" s="94">
        <f t="shared" si="18"/>
        <v>46152</v>
      </c>
      <c r="I53" s="95">
        <f t="shared" si="19"/>
        <v>200000</v>
      </c>
      <c r="J53" s="95">
        <f t="shared" si="20"/>
        <v>96130.13</v>
      </c>
      <c r="K53" s="95" t="str">
        <f t="shared" si="21"/>
        <v/>
      </c>
      <c r="L53" s="95">
        <f t="shared" si="22"/>
        <v>96130.13</v>
      </c>
    </row>
    <row r="54" spans="8:12" ht="14.25" customHeight="1">
      <c r="H54" s="94">
        <f t="shared" si="18"/>
        <v>46153</v>
      </c>
      <c r="I54" s="95">
        <f t="shared" si="19"/>
        <v>240000</v>
      </c>
      <c r="J54" s="95">
        <f t="shared" si="20"/>
        <v>108284.16</v>
      </c>
      <c r="K54" s="95" t="str">
        <f t="shared" si="21"/>
        <v/>
      </c>
      <c r="L54" s="95">
        <f t="shared" si="22"/>
        <v>108284.16</v>
      </c>
    </row>
    <row r="55" spans="8:12" ht="14.25" customHeight="1">
      <c r="H55" s="94">
        <f t="shared" si="18"/>
        <v>46154</v>
      </c>
      <c r="I55" s="95">
        <f t="shared" si="19"/>
        <v>280000</v>
      </c>
      <c r="J55" s="95">
        <f t="shared" si="20"/>
        <v>129794.77</v>
      </c>
      <c r="K55" s="95" t="str">
        <f t="shared" si="21"/>
        <v/>
      </c>
      <c r="L55" s="95">
        <f t="shared" si="22"/>
        <v>129794.77</v>
      </c>
    </row>
    <row r="56" spans="8:12" ht="14.25" customHeight="1">
      <c r="H56" s="94">
        <f t="shared" si="18"/>
        <v>46155</v>
      </c>
      <c r="I56" s="95">
        <f t="shared" si="19"/>
        <v>320000</v>
      </c>
      <c r="J56" s="95">
        <f t="shared" si="20"/>
        <v>144427.29999999999</v>
      </c>
      <c r="K56" s="95" t="str">
        <f t="shared" si="21"/>
        <v/>
      </c>
      <c r="L56" s="95">
        <f t="shared" si="22"/>
        <v>144427.29999999999</v>
      </c>
    </row>
    <row r="57" spans="8:12" ht="14.25" customHeight="1">
      <c r="H57" s="94">
        <f t="shared" si="18"/>
        <v>46156</v>
      </c>
      <c r="I57" s="95">
        <f t="shared" si="19"/>
        <v>360000</v>
      </c>
      <c r="J57" s="95">
        <f t="shared" si="20"/>
        <v>155036.69</v>
      </c>
      <c r="K57" s="95" t="str">
        <f t="shared" si="21"/>
        <v/>
      </c>
      <c r="L57" s="95">
        <f t="shared" si="22"/>
        <v>155036.69</v>
      </c>
    </row>
    <row r="58" spans="8:12" ht="14.25" customHeight="1">
      <c r="H58" s="94">
        <f t="shared" si="18"/>
        <v>46157</v>
      </c>
      <c r="I58" s="95">
        <f t="shared" si="19"/>
        <v>400000</v>
      </c>
      <c r="J58" s="95">
        <f t="shared" si="20"/>
        <v>168418.59</v>
      </c>
      <c r="K58" s="95" t="str">
        <f t="shared" si="21"/>
        <v/>
      </c>
      <c r="L58" s="95">
        <f t="shared" si="22"/>
        <v>168418.59</v>
      </c>
    </row>
    <row r="59" spans="8:12" ht="14.25" customHeight="1">
      <c r="H59" s="94">
        <f t="shared" si="18"/>
        <v>46158</v>
      </c>
      <c r="I59" s="95">
        <f t="shared" si="19"/>
        <v>400000</v>
      </c>
      <c r="J59" s="95">
        <f t="shared" si="20"/>
        <v>168418.59</v>
      </c>
      <c r="K59" s="95" t="str">
        <f t="shared" si="21"/>
        <v/>
      </c>
      <c r="L59" s="95">
        <f t="shared" si="22"/>
        <v>168418.59</v>
      </c>
    </row>
    <row r="60" spans="8:12" ht="14.25" customHeight="1">
      <c r="H60" s="94">
        <f t="shared" si="18"/>
        <v>46159</v>
      </c>
      <c r="I60" s="95">
        <f t="shared" si="19"/>
        <v>400000</v>
      </c>
      <c r="J60" s="95">
        <f t="shared" si="20"/>
        <v>168418.59</v>
      </c>
      <c r="K60" s="95" t="str">
        <f t="shared" si="21"/>
        <v/>
      </c>
      <c r="L60" s="95">
        <f t="shared" si="22"/>
        <v>168418.59</v>
      </c>
    </row>
    <row r="61" spans="8:12" ht="14.25" customHeight="1">
      <c r="H61" s="94">
        <f t="shared" si="18"/>
        <v>46160</v>
      </c>
      <c r="I61" s="95">
        <f t="shared" si="19"/>
        <v>440000</v>
      </c>
      <c r="J61" s="95">
        <f t="shared" si="20"/>
        <v>175716.36</v>
      </c>
      <c r="K61" s="95" t="str">
        <f t="shared" si="21"/>
        <v/>
      </c>
      <c r="L61" s="95">
        <f t="shared" si="22"/>
        <v>175716.36</v>
      </c>
    </row>
    <row r="62" spans="8:12" ht="14.25" customHeight="1">
      <c r="H62" s="94">
        <f t="shared" si="18"/>
        <v>46161</v>
      </c>
      <c r="I62" s="95">
        <f t="shared" si="19"/>
        <v>480000</v>
      </c>
      <c r="J62" s="95">
        <f t="shared" si="20"/>
        <v>182384.77</v>
      </c>
      <c r="K62" s="95" t="str">
        <f t="shared" si="21"/>
        <v/>
      </c>
      <c r="L62" s="95">
        <f t="shared" si="22"/>
        <v>182384.77</v>
      </c>
    </row>
    <row r="63" spans="8:12" ht="14.25" customHeight="1">
      <c r="H63" s="94">
        <f t="shared" si="18"/>
        <v>46162</v>
      </c>
      <c r="I63" s="95">
        <f t="shared" si="19"/>
        <v>520000</v>
      </c>
      <c r="J63" s="95">
        <f t="shared" si="20"/>
        <v>193970.09999999998</v>
      </c>
      <c r="K63" s="95" t="str">
        <f t="shared" si="21"/>
        <v/>
      </c>
      <c r="L63" s="95">
        <f t="shared" si="22"/>
        <v>193970.09999999998</v>
      </c>
    </row>
    <row r="64" spans="8:12" ht="14.25" customHeight="1">
      <c r="H64" s="94">
        <f t="shared" si="18"/>
        <v>46163</v>
      </c>
      <c r="I64" s="95">
        <f t="shared" si="19"/>
        <v>560000</v>
      </c>
      <c r="J64" s="95">
        <f t="shared" si="20"/>
        <v>221809.36</v>
      </c>
      <c r="K64" s="95" t="str">
        <f t="shared" si="21"/>
        <v/>
      </c>
      <c r="L64" s="95">
        <f t="shared" si="22"/>
        <v>221809.36</v>
      </c>
    </row>
    <row r="65" spans="8:12" ht="14.25" customHeight="1">
      <c r="H65" s="94">
        <f t="shared" si="18"/>
        <v>46164</v>
      </c>
      <c r="I65" s="95">
        <f t="shared" si="19"/>
        <v>600000</v>
      </c>
      <c r="J65" s="95">
        <f t="shared" si="20"/>
        <v>245989.96999999997</v>
      </c>
      <c r="K65" s="95" t="str">
        <f t="shared" si="21"/>
        <v/>
      </c>
      <c r="L65" s="95">
        <f t="shared" si="22"/>
        <v>245989.96999999997</v>
      </c>
    </row>
    <row r="66" spans="8:12" ht="14.25" customHeight="1">
      <c r="H66" s="94">
        <f t="shared" si="18"/>
        <v>46165</v>
      </c>
      <c r="I66" s="95">
        <f t="shared" si="19"/>
        <v>600000</v>
      </c>
      <c r="J66" s="95">
        <f t="shared" si="20"/>
        <v>245989.96999999997</v>
      </c>
      <c r="K66" s="95" t="str">
        <f t="shared" si="21"/>
        <v/>
      </c>
      <c r="L66" s="95">
        <f t="shared" si="22"/>
        <v>245989.96999999997</v>
      </c>
    </row>
    <row r="67" spans="8:12" ht="14.25" customHeight="1">
      <c r="H67" s="94">
        <f t="shared" si="18"/>
        <v>46166</v>
      </c>
      <c r="I67" s="95">
        <f t="shared" si="19"/>
        <v>600000</v>
      </c>
      <c r="J67" s="95">
        <f t="shared" si="20"/>
        <v>245989.96999999997</v>
      </c>
      <c r="K67" s="95" t="str">
        <f t="shared" si="21"/>
        <v/>
      </c>
      <c r="L67" s="95">
        <f t="shared" si="22"/>
        <v>245989.96999999997</v>
      </c>
    </row>
    <row r="68" spans="8:12" ht="14.25" customHeight="1">
      <c r="H68" s="94">
        <f t="shared" si="18"/>
        <v>46167</v>
      </c>
      <c r="I68" s="95">
        <f t="shared" si="19"/>
        <v>640000</v>
      </c>
      <c r="J68" s="95">
        <f t="shared" si="20"/>
        <v>297727.67</v>
      </c>
      <c r="K68" s="95" t="str">
        <f t="shared" si="21"/>
        <v/>
      </c>
      <c r="L68" s="95">
        <f t="shared" si="22"/>
        <v>297727.67</v>
      </c>
    </row>
    <row r="69" spans="8:12" ht="14.25" customHeight="1">
      <c r="H69" s="94">
        <f t="shared" si="18"/>
        <v>46168</v>
      </c>
      <c r="I69" s="95">
        <f t="shared" si="19"/>
        <v>680000</v>
      </c>
      <c r="J69" s="95">
        <f t="shared" si="20"/>
        <v>320189.57</v>
      </c>
      <c r="K69" s="95" t="str">
        <f t="shared" si="21"/>
        <v/>
      </c>
      <c r="L69" s="95">
        <f t="shared" si="22"/>
        <v>320189.57</v>
      </c>
    </row>
    <row r="70" spans="8:12" ht="14.25" customHeight="1">
      <c r="H70" s="94">
        <f t="shared" si="18"/>
        <v>46169</v>
      </c>
      <c r="I70" s="95">
        <f t="shared" si="19"/>
        <v>720000</v>
      </c>
      <c r="J70" s="95">
        <f t="shared" si="20"/>
        <v>350205.16000000003</v>
      </c>
      <c r="K70" s="95" t="str">
        <f t="shared" si="21"/>
        <v/>
      </c>
      <c r="L70" s="95">
        <f t="shared" si="22"/>
        <v>350205.16000000003</v>
      </c>
    </row>
    <row r="71" spans="8:12" ht="14.25" customHeight="1">
      <c r="H71" s="94">
        <f t="shared" si="18"/>
        <v>46170</v>
      </c>
      <c r="I71" s="95">
        <f t="shared" si="19"/>
        <v>760000</v>
      </c>
      <c r="J71" s="95">
        <f t="shared" si="20"/>
        <v>372767.21</v>
      </c>
      <c r="K71" s="95" t="str">
        <f t="shared" si="21"/>
        <v/>
      </c>
      <c r="L71" s="95">
        <f t="shared" si="22"/>
        <v>372767.21</v>
      </c>
    </row>
    <row r="72" spans="8:12" ht="14.25" customHeight="1">
      <c r="H72" s="94">
        <f t="shared" si="18"/>
        <v>46171</v>
      </c>
      <c r="I72" s="95">
        <f t="shared" si="19"/>
        <v>800000</v>
      </c>
      <c r="J72" s="95">
        <f t="shared" si="20"/>
        <v>489252.47000000003</v>
      </c>
      <c r="K72" s="95" t="str">
        <f t="shared" si="21"/>
        <v/>
      </c>
      <c r="L72" s="95">
        <f t="shared" si="22"/>
        <v>489252.47000000003</v>
      </c>
    </row>
    <row r="73" spans="8:12" ht="14.25" customHeight="1">
      <c r="H73" s="94">
        <f t="shared" si="18"/>
        <v>46172</v>
      </c>
      <c r="I73" s="95">
        <f t="shared" si="19"/>
        <v>800000</v>
      </c>
      <c r="J73" s="95">
        <f t="shared" si="20"/>
        <v>489252.47000000003</v>
      </c>
      <c r="K73" s="95" t="str">
        <f t="shared" si="21"/>
        <v/>
      </c>
      <c r="L73" s="95">
        <f t="shared" si="22"/>
        <v>489252.47000000003</v>
      </c>
    </row>
    <row r="74" spans="8:12" ht="14.25" customHeight="1">
      <c r="H74" s="94">
        <f>B40</f>
        <v>46173</v>
      </c>
      <c r="I74" s="95">
        <f>G40</f>
        <v>840000</v>
      </c>
      <c r="J74" s="95">
        <f>T40</f>
        <v>489252.47000000003</v>
      </c>
      <c r="K74" s="95" t="str">
        <f>IF(I74&gt;J74,"",J74)</f>
        <v/>
      </c>
      <c r="L74" s="95">
        <f t="shared" si="22"/>
        <v>489252.47000000003</v>
      </c>
    </row>
  </sheetData>
  <mergeCells count="16">
    <mergeCell ref="U7:U9"/>
    <mergeCell ref="B2:W2"/>
    <mergeCell ref="B3:W3"/>
    <mergeCell ref="B6:B9"/>
    <mergeCell ref="C6:C9"/>
    <mergeCell ref="G6:G9"/>
    <mergeCell ref="H6:J6"/>
    <mergeCell ref="K6:U6"/>
    <mergeCell ref="V6:V9"/>
    <mergeCell ref="W6:W9"/>
    <mergeCell ref="H7:H9"/>
    <mergeCell ref="I7:I9"/>
    <mergeCell ref="J7:J9"/>
    <mergeCell ref="K7:K9"/>
    <mergeCell ref="S7:S9"/>
    <mergeCell ref="T7:T9"/>
  </mergeCells>
  <conditionalFormatting sqref="C10:C40">
    <cfRule type="cellIs" dxfId="5" priority="1" operator="equal">
      <formula>"dom"</formula>
    </cfRule>
    <cfRule type="cellIs" dxfId="4" priority="2" operator="equal">
      <formula>"sáb"</formula>
    </cfRule>
  </conditionalFormatting>
  <pageMargins left="0.19685039370078741" right="0.19685039370078741" top="0.19685039370078741" bottom="0.19685039370078741" header="0" footer="0"/>
  <pageSetup paperSize="9" scale="55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758D-62AD-4A89-B164-B63040808212}">
  <sheetPr>
    <pageSetUpPr fitToPage="1"/>
  </sheetPr>
  <dimension ref="B1:AG74"/>
  <sheetViews>
    <sheetView showGridLines="0" zoomScale="70" zoomScaleNormal="70" workbookViewId="0">
      <pane xSplit="7" ySplit="9" topLeftCell="H24" activePane="bottomRight" state="frozen"/>
      <selection pane="bottomRight" activeCell="J39" sqref="J39"/>
      <selection pane="bottomLeft"/>
      <selection pane="topRight"/>
    </sheetView>
  </sheetViews>
  <sheetFormatPr defaultColWidth="15.5703125" defaultRowHeight="14.25" customHeight="1"/>
  <cols>
    <col min="1" max="1" width="1.140625" style="3" customWidth="1"/>
    <col min="2" max="3" width="10.5703125" style="3" customWidth="1"/>
    <col min="4" max="6" width="11.85546875" style="3" hidden="1" customWidth="1"/>
    <col min="7" max="7" width="16.5703125" style="3" customWidth="1"/>
    <col min="8" max="9" width="15.5703125" style="3" customWidth="1"/>
    <col min="10" max="10" width="15.42578125" style="3" customWidth="1"/>
    <col min="11" max="11" width="14.28515625" style="3" customWidth="1"/>
    <col min="12" max="19" width="16.5703125" style="3" customWidth="1"/>
    <col min="20" max="21" width="15.85546875" style="1" customWidth="1"/>
    <col min="22" max="22" width="11.5703125" style="1" customWidth="1"/>
    <col min="23" max="23" width="15.85546875" style="3" customWidth="1"/>
    <col min="24" max="24" width="16.85546875" style="8" bestFit="1" customWidth="1"/>
    <col min="25" max="25" width="1.140625" style="3" customWidth="1"/>
    <col min="26" max="26" width="15.5703125" style="79"/>
    <col min="27" max="16384" width="15.5703125" style="3"/>
  </cols>
  <sheetData>
    <row r="1" spans="2:33" ht="6.95" customHeight="1"/>
    <row r="2" spans="2:33" s="1" customFormat="1" ht="26.25" customHeight="1">
      <c r="B2" s="100" t="s">
        <v>15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2"/>
      <c r="Z2" s="80"/>
    </row>
    <row r="3" spans="2:33" s="1" customFormat="1" ht="26.25" customHeight="1">
      <c r="B3" s="103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5"/>
      <c r="Z3" s="80"/>
    </row>
    <row r="4" spans="2:33" s="1" customFormat="1" ht="26.25" customHeight="1">
      <c r="B4" s="14"/>
      <c r="C4" s="82"/>
      <c r="D4" s="82"/>
      <c r="E4" s="82"/>
      <c r="F4" s="82"/>
      <c r="G4" s="83" t="s">
        <v>17</v>
      </c>
      <c r="H4" s="19">
        <v>815000</v>
      </c>
      <c r="L4" s="84"/>
      <c r="M4" s="84"/>
      <c r="N4" s="84"/>
      <c r="O4" s="84"/>
      <c r="P4" s="84"/>
      <c r="Q4" s="84"/>
      <c r="R4" s="84"/>
      <c r="S4" s="84"/>
      <c r="W4" s="84" t="s">
        <v>18</v>
      </c>
      <c r="X4" s="45">
        <v>21</v>
      </c>
      <c r="Z4" s="80"/>
      <c r="AB4" s="10"/>
      <c r="AC4" s="11"/>
      <c r="AD4" s="12"/>
      <c r="AE4" s="13"/>
      <c r="AF4" s="12"/>
      <c r="AG4" s="13"/>
    </row>
    <row r="5" spans="2:33" s="7" customFormat="1" ht="26.25" customHeight="1">
      <c r="B5" s="21"/>
      <c r="C5" s="22"/>
      <c r="D5" s="22"/>
      <c r="E5" s="22"/>
      <c r="F5" s="22"/>
      <c r="G5" s="23" t="s">
        <v>19</v>
      </c>
      <c r="H5" s="24">
        <f>IF(H4="","",H4/X4)</f>
        <v>38809.523809523809</v>
      </c>
      <c r="I5" s="22"/>
      <c r="J5" s="22"/>
      <c r="K5" s="22"/>
      <c r="L5" s="25"/>
      <c r="M5" s="25"/>
      <c r="N5" s="25"/>
      <c r="O5" s="25"/>
      <c r="P5" s="25"/>
      <c r="Q5" s="25"/>
      <c r="R5" s="25"/>
      <c r="S5" s="25"/>
      <c r="T5" s="22"/>
      <c r="U5" s="22"/>
      <c r="V5" s="22"/>
      <c r="W5" s="25" t="s">
        <v>20</v>
      </c>
      <c r="X5" s="46">
        <f>$B$10</f>
        <v>46174</v>
      </c>
      <c r="Z5" s="81"/>
    </row>
    <row r="6" spans="2:33" s="1" customFormat="1" ht="33.75" customHeight="1">
      <c r="B6" s="106" t="s">
        <v>21</v>
      </c>
      <c r="C6" s="108" t="s">
        <v>22</v>
      </c>
      <c r="D6" s="20" t="s">
        <v>22</v>
      </c>
      <c r="E6" s="20" t="s">
        <v>23</v>
      </c>
      <c r="F6" s="20" t="s">
        <v>24</v>
      </c>
      <c r="G6" s="108" t="s">
        <v>25</v>
      </c>
      <c r="H6" s="110" t="s">
        <v>4</v>
      </c>
      <c r="I6" s="110"/>
      <c r="J6" s="111"/>
      <c r="K6" s="112" t="s">
        <v>26</v>
      </c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4"/>
      <c r="W6" s="108" t="s">
        <v>27</v>
      </c>
      <c r="X6" s="115" t="s">
        <v>28</v>
      </c>
      <c r="Z6" s="80" t="s">
        <v>29</v>
      </c>
    </row>
    <row r="7" spans="2:33" s="1" customFormat="1" ht="17.25" customHeight="1">
      <c r="B7" s="106"/>
      <c r="C7" s="108"/>
      <c r="D7" s="9"/>
      <c r="E7" s="9"/>
      <c r="F7" s="9"/>
      <c r="G7" s="108"/>
      <c r="H7" s="117" t="s">
        <v>30</v>
      </c>
      <c r="I7" s="119" t="s">
        <v>31</v>
      </c>
      <c r="J7" s="98" t="s">
        <v>32</v>
      </c>
      <c r="K7" s="121" t="s">
        <v>33</v>
      </c>
      <c r="L7" s="35" t="s">
        <v>9</v>
      </c>
      <c r="M7" s="35" t="s">
        <v>34</v>
      </c>
      <c r="N7" s="35" t="s">
        <v>35</v>
      </c>
      <c r="O7" s="35" t="s">
        <v>36</v>
      </c>
      <c r="P7" s="35" t="s">
        <v>37</v>
      </c>
      <c r="Q7" s="35" t="s">
        <v>38</v>
      </c>
      <c r="R7" s="35" t="s">
        <v>49</v>
      </c>
      <c r="S7" s="96" t="s">
        <v>50</v>
      </c>
      <c r="T7" s="122" t="s">
        <v>39</v>
      </c>
      <c r="U7" s="125" t="s">
        <v>40</v>
      </c>
      <c r="V7" s="97" t="s">
        <v>32</v>
      </c>
      <c r="W7" s="108"/>
      <c r="X7" s="115"/>
      <c r="Z7" s="80"/>
    </row>
    <row r="8" spans="2:33" s="1" customFormat="1" ht="17.25" customHeight="1">
      <c r="B8" s="106"/>
      <c r="C8" s="108"/>
      <c r="D8" s="20"/>
      <c r="E8" s="20"/>
      <c r="F8" s="20"/>
      <c r="G8" s="108"/>
      <c r="H8" s="117"/>
      <c r="I8" s="119"/>
      <c r="J8" s="98"/>
      <c r="K8" s="119"/>
      <c r="L8" s="63">
        <v>180000</v>
      </c>
      <c r="M8" s="63">
        <v>475000</v>
      </c>
      <c r="N8" s="63">
        <v>40000</v>
      </c>
      <c r="O8" s="63">
        <v>30000</v>
      </c>
      <c r="P8" s="63">
        <v>50000</v>
      </c>
      <c r="Q8" s="63">
        <v>25000</v>
      </c>
      <c r="R8" s="63">
        <v>15000</v>
      </c>
      <c r="S8" s="63">
        <v>15000</v>
      </c>
      <c r="T8" s="123"/>
      <c r="U8" s="117"/>
      <c r="V8" s="98"/>
      <c r="W8" s="108"/>
      <c r="X8" s="115"/>
      <c r="Z8" s="80"/>
    </row>
    <row r="9" spans="2:33" s="1" customFormat="1" ht="17.25" customHeight="1">
      <c r="B9" s="107"/>
      <c r="C9" s="109"/>
      <c r="D9" s="20"/>
      <c r="E9" s="20"/>
      <c r="F9" s="20"/>
      <c r="G9" s="109"/>
      <c r="H9" s="118"/>
      <c r="I9" s="120"/>
      <c r="J9" s="99"/>
      <c r="K9" s="120"/>
      <c r="L9" s="38">
        <f t="shared" ref="L9:S9" si="0">IF(L8="","",SUM(L10:L40)/L8)</f>
        <v>0.9583891111111108</v>
      </c>
      <c r="M9" s="38">
        <f t="shared" si="0"/>
        <v>0.74979658947368433</v>
      </c>
      <c r="N9" s="38">
        <f t="shared" si="0"/>
        <v>1.7519584999999995</v>
      </c>
      <c r="O9" s="38">
        <f t="shared" si="0"/>
        <v>0.84860366666666653</v>
      </c>
      <c r="P9" s="38">
        <f t="shared" si="0"/>
        <v>1.3873772</v>
      </c>
      <c r="Q9" s="38">
        <f>IF(Q8="","",SUM(Q10:Q40)/Q8)</f>
        <v>1.31366</v>
      </c>
      <c r="R9" s="38">
        <f>IF(R8="","",SUM(R10:R40)/R8)</f>
        <v>0</v>
      </c>
      <c r="S9" s="38">
        <f t="shared" si="0"/>
        <v>0.3599506666666667</v>
      </c>
      <c r="T9" s="124"/>
      <c r="U9" s="118"/>
      <c r="V9" s="99"/>
      <c r="W9" s="109"/>
      <c r="X9" s="116"/>
      <c r="Z9" s="80"/>
    </row>
    <row r="10" spans="2:33" ht="20.25" customHeight="1">
      <c r="B10" s="64">
        <v>46174</v>
      </c>
      <c r="C10" s="5" t="str">
        <f>TEXT(B10,"ddd")</f>
        <v>seg</v>
      </c>
      <c r="D10" s="5" cm="1">
        <f t="array" ref="D10:D39">WEEKDAY($B$10:$B$39,2)</f>
        <v>1</v>
      </c>
      <c r="E10" s="6">
        <f t="shared" ref="E10:E40" si="1">IF(D10&gt;5,0,1)</f>
        <v>1</v>
      </c>
      <c r="F10" s="2">
        <f>E10</f>
        <v>1</v>
      </c>
      <c r="G10" s="26">
        <f t="shared" ref="G10:G39" si="2">IF(F11&lt;1,"",$H$5*F10)</f>
        <v>38809.523809523809</v>
      </c>
      <c r="H10" s="65">
        <v>4406.99</v>
      </c>
      <c r="I10" s="39">
        <f>IF(SUM(H10)="","",SUM(H10))</f>
        <v>4406.99</v>
      </c>
      <c r="J10" s="34">
        <f t="shared" ref="J10:J40" si="3">IF(I10=0,"",(I10/G10))</f>
        <v>0.1135543435582822</v>
      </c>
      <c r="K10" s="89">
        <v>11</v>
      </c>
      <c r="L10" s="65">
        <v>0</v>
      </c>
      <c r="M10" s="65">
        <v>8876.23</v>
      </c>
      <c r="N10" s="65">
        <v>5143.41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33">
        <f>IF(SUM(L10:S10)=0,0,SUM(L10:S10))</f>
        <v>14019.64</v>
      </c>
      <c r="U10" s="39">
        <f>IF(SUM(T10)="","",SUM(T10))</f>
        <v>14019.64</v>
      </c>
      <c r="V10" s="34">
        <f>IF(U10=0,"",(U10/G10))</f>
        <v>0.36124225766871165</v>
      </c>
      <c r="W10" s="75">
        <f t="shared" ref="W10:W40" si="4">IF(K10="","",T10/K10)</f>
        <v>1274.5127272727273</v>
      </c>
      <c r="X10" s="85"/>
    </row>
    <row r="11" spans="2:33" ht="20.25" customHeight="1">
      <c r="B11" s="15">
        <f>B10+1</f>
        <v>46175</v>
      </c>
      <c r="C11" s="6" t="str">
        <f t="shared" ref="C11:C39" si="5">TEXT(B11,"ddd")</f>
        <v>ter</v>
      </c>
      <c r="D11" s="6">
        <v>2</v>
      </c>
      <c r="E11" s="6">
        <f t="shared" si="1"/>
        <v>1</v>
      </c>
      <c r="F11" s="4">
        <f>E11+F10</f>
        <v>2</v>
      </c>
      <c r="G11" s="27">
        <f t="shared" si="2"/>
        <v>77619.047619047618</v>
      </c>
      <c r="H11" s="65">
        <v>0</v>
      </c>
      <c r="I11" s="39">
        <f t="shared" ref="I11:I40" si="6">IF(SUM(H11,I10)="","",SUM(H11,I10))</f>
        <v>4406.99</v>
      </c>
      <c r="J11" s="29">
        <f t="shared" si="3"/>
        <v>5.67771717791411E-2</v>
      </c>
      <c r="K11" s="90">
        <v>7</v>
      </c>
      <c r="L11" s="69">
        <v>0</v>
      </c>
      <c r="M11" s="69">
        <v>16975.53</v>
      </c>
      <c r="N11" s="69">
        <v>2929.81</v>
      </c>
      <c r="O11" s="69">
        <v>0</v>
      </c>
      <c r="P11" s="69">
        <v>0</v>
      </c>
      <c r="Q11" s="69">
        <v>0</v>
      </c>
      <c r="R11" s="69">
        <v>0</v>
      </c>
      <c r="S11" s="69">
        <v>5399.26</v>
      </c>
      <c r="T11" s="33">
        <f t="shared" ref="T10:T40" si="7">IF(SUM(L11:S11)=0,0,SUM(L11:S11))</f>
        <v>25304.6</v>
      </c>
      <c r="U11" s="39">
        <f>IF(SUM(T11,U10)="","",SUM(T11,U10))</f>
        <v>39324.239999999998</v>
      </c>
      <c r="V11" s="34">
        <f t="shared" ref="V11:V40" si="8">IF(U11=0,"",U11/G11)</f>
        <v>0.50663131288343555</v>
      </c>
      <c r="W11" s="76">
        <f t="shared" si="4"/>
        <v>3614.9428571428571</v>
      </c>
      <c r="X11" s="86">
        <v>199181.85</v>
      </c>
    </row>
    <row r="12" spans="2:33" ht="20.25" customHeight="1">
      <c r="B12" s="15">
        <f t="shared" ref="B12:B39" si="9">B11+1</f>
        <v>46176</v>
      </c>
      <c r="C12" s="6" t="str">
        <f>TEXT(B12,"ddd")</f>
        <v>qua</v>
      </c>
      <c r="D12" s="6">
        <v>3</v>
      </c>
      <c r="E12" s="6">
        <f t="shared" si="1"/>
        <v>1</v>
      </c>
      <c r="F12" s="4">
        <f t="shared" ref="F12:F13" si="10">E12+F11</f>
        <v>3</v>
      </c>
      <c r="G12" s="27">
        <f t="shared" si="2"/>
        <v>116428.57142857142</v>
      </c>
      <c r="H12" s="65">
        <v>30114.71</v>
      </c>
      <c r="I12" s="39">
        <f t="shared" si="6"/>
        <v>34521.699999999997</v>
      </c>
      <c r="J12" s="29">
        <f t="shared" si="3"/>
        <v>0.29650539877300613</v>
      </c>
      <c r="K12" s="90">
        <v>7</v>
      </c>
      <c r="L12" s="69">
        <v>0</v>
      </c>
      <c r="M12" s="69">
        <v>14113.39</v>
      </c>
      <c r="N12" s="69">
        <v>1712.25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  <c r="T12" s="33">
        <f>IF(SUM(L12:S12)=0,0,SUM(L12:S12))</f>
        <v>15825.64</v>
      </c>
      <c r="U12" s="39">
        <f t="shared" ref="U12:U40" si="11">IF(SUM(T12,U11)="","",SUM(T12,U11))</f>
        <v>55149.88</v>
      </c>
      <c r="V12" s="34">
        <f t="shared" si="8"/>
        <v>0.4736799509202454</v>
      </c>
      <c r="W12" s="76">
        <f t="shared" si="4"/>
        <v>2260.8057142857142</v>
      </c>
      <c r="X12" s="86">
        <v>49750.62</v>
      </c>
    </row>
    <row r="13" spans="2:33" ht="20.25" customHeight="1">
      <c r="B13" s="15">
        <f t="shared" si="9"/>
        <v>46177</v>
      </c>
      <c r="C13" s="6" t="str">
        <f t="shared" si="5"/>
        <v>qui</v>
      </c>
      <c r="D13" s="6">
        <v>4</v>
      </c>
      <c r="E13" s="6">
        <v>0</v>
      </c>
      <c r="F13" s="4">
        <f t="shared" si="10"/>
        <v>3</v>
      </c>
      <c r="G13" s="27">
        <f t="shared" si="2"/>
        <v>116428.57142857142</v>
      </c>
      <c r="H13" s="65">
        <v>0</v>
      </c>
      <c r="I13" s="39">
        <f t="shared" si="6"/>
        <v>34521.699999999997</v>
      </c>
      <c r="J13" s="29">
        <f t="shared" si="3"/>
        <v>0.29650539877300613</v>
      </c>
      <c r="K13" s="90"/>
      <c r="L13" s="69"/>
      <c r="M13" s="69"/>
      <c r="N13" s="69"/>
      <c r="O13" s="69"/>
      <c r="P13" s="69"/>
      <c r="Q13" s="69"/>
      <c r="R13" s="69"/>
      <c r="S13" s="69"/>
      <c r="T13" s="33">
        <f t="shared" si="7"/>
        <v>0</v>
      </c>
      <c r="U13" s="39">
        <f t="shared" si="11"/>
        <v>55149.88</v>
      </c>
      <c r="V13" s="34">
        <f t="shared" si="8"/>
        <v>0.4736799509202454</v>
      </c>
      <c r="W13" s="76" t="str">
        <f t="shared" si="4"/>
        <v/>
      </c>
      <c r="X13" s="86"/>
    </row>
    <row r="14" spans="2:33" ht="20.25" customHeight="1">
      <c r="B14" s="15">
        <f>B13+1</f>
        <v>46178</v>
      </c>
      <c r="C14" s="6" t="str">
        <f>TEXT(B14,"ddd")</f>
        <v>sex</v>
      </c>
      <c r="D14" s="6">
        <v>5</v>
      </c>
      <c r="E14" s="6">
        <f t="shared" si="1"/>
        <v>1</v>
      </c>
      <c r="F14" s="4">
        <f>F13+E14</f>
        <v>4</v>
      </c>
      <c r="G14" s="27">
        <f t="shared" si="2"/>
        <v>155238.09523809524</v>
      </c>
      <c r="H14" s="65">
        <v>14980.55</v>
      </c>
      <c r="I14" s="39">
        <f t="shared" si="6"/>
        <v>49502.25</v>
      </c>
      <c r="J14" s="29">
        <f t="shared" si="3"/>
        <v>0.31887952453987728</v>
      </c>
      <c r="K14" s="90">
        <v>12</v>
      </c>
      <c r="L14" s="69">
        <v>48573.47</v>
      </c>
      <c r="M14" s="69">
        <v>12840</v>
      </c>
      <c r="N14" s="69">
        <v>1186.26</v>
      </c>
      <c r="O14" s="69">
        <v>0</v>
      </c>
      <c r="P14" s="69">
        <v>5815.67</v>
      </c>
      <c r="Q14" s="69">
        <v>3859.56</v>
      </c>
      <c r="R14" s="69">
        <v>0</v>
      </c>
      <c r="S14" s="69">
        <v>0</v>
      </c>
      <c r="T14" s="33">
        <f>IF(SUM(L14:S14)=0,0,SUM(L14:S14))</f>
        <v>72274.960000000006</v>
      </c>
      <c r="U14" s="39">
        <f>IF(SUM(T14,U13)="","",SUM(T14,U13))</f>
        <v>127424.84</v>
      </c>
      <c r="V14" s="34">
        <f t="shared" si="8"/>
        <v>0.82083485889570551</v>
      </c>
      <c r="W14" s="76">
        <f t="shared" si="4"/>
        <v>6022.9133333333339</v>
      </c>
      <c r="X14" s="86">
        <v>51883.360000000001</v>
      </c>
    </row>
    <row r="15" spans="2:33" ht="20.25" customHeight="1">
      <c r="B15" s="15">
        <f>B14+1</f>
        <v>46179</v>
      </c>
      <c r="C15" s="6" t="str">
        <f t="shared" si="5"/>
        <v>sáb</v>
      </c>
      <c r="D15" s="6">
        <v>6</v>
      </c>
      <c r="E15" s="6">
        <f t="shared" si="1"/>
        <v>0</v>
      </c>
      <c r="F15" s="4">
        <f>F14+E15</f>
        <v>4</v>
      </c>
      <c r="G15" s="27">
        <f t="shared" si="2"/>
        <v>155238.09523809524</v>
      </c>
      <c r="H15" s="65"/>
      <c r="I15" s="39">
        <f t="shared" si="6"/>
        <v>49502.25</v>
      </c>
      <c r="J15" s="29">
        <f t="shared" si="3"/>
        <v>0.31887952453987728</v>
      </c>
      <c r="K15" s="90"/>
      <c r="L15" s="69"/>
      <c r="M15" s="69"/>
      <c r="N15" s="69"/>
      <c r="O15" s="69"/>
      <c r="P15" s="69"/>
      <c r="Q15" s="69"/>
      <c r="R15" s="69"/>
      <c r="S15" s="69"/>
      <c r="T15" s="33">
        <f>IF(SUM(L15:S15)=0,0,SUM(L15:S15))</f>
        <v>0</v>
      </c>
      <c r="U15" s="39">
        <f>IF(SUM(T15,U14)="","",SUM(T15,U14))</f>
        <v>127424.84</v>
      </c>
      <c r="V15" s="34">
        <f t="shared" si="8"/>
        <v>0.82083485889570551</v>
      </c>
      <c r="W15" s="76" t="str">
        <f t="shared" si="4"/>
        <v/>
      </c>
      <c r="X15" s="86"/>
    </row>
    <row r="16" spans="2:33" ht="20.25" customHeight="1">
      <c r="B16" s="15">
        <f t="shared" si="9"/>
        <v>46180</v>
      </c>
      <c r="C16" s="6" t="str">
        <f t="shared" si="5"/>
        <v>dom</v>
      </c>
      <c r="D16" s="6">
        <v>7</v>
      </c>
      <c r="E16" s="6">
        <f t="shared" si="1"/>
        <v>0</v>
      </c>
      <c r="F16" s="4">
        <f t="shared" ref="F16:F20" si="12">F15+E16</f>
        <v>4</v>
      </c>
      <c r="G16" s="27">
        <f t="shared" si="2"/>
        <v>155238.09523809524</v>
      </c>
      <c r="H16" s="65"/>
      <c r="I16" s="39">
        <f t="shared" si="6"/>
        <v>49502.25</v>
      </c>
      <c r="J16" s="29">
        <f t="shared" si="3"/>
        <v>0.31887952453987728</v>
      </c>
      <c r="K16" s="90"/>
      <c r="L16" s="69"/>
      <c r="M16" s="69"/>
      <c r="N16" s="69"/>
      <c r="O16" s="69"/>
      <c r="P16" s="69"/>
      <c r="Q16" s="69"/>
      <c r="R16" s="69"/>
      <c r="S16" s="69"/>
      <c r="T16" s="33">
        <f>IF(SUM(L16:S16)=0,0,SUM(L16:S16))</f>
        <v>0</v>
      </c>
      <c r="U16" s="39">
        <f t="shared" si="11"/>
        <v>127424.84</v>
      </c>
      <c r="V16" s="34">
        <f t="shared" si="8"/>
        <v>0.82083485889570551</v>
      </c>
      <c r="W16" s="76" t="str">
        <f t="shared" si="4"/>
        <v/>
      </c>
      <c r="X16" s="86"/>
    </row>
    <row r="17" spans="2:24" ht="20.25" customHeight="1">
      <c r="B17" s="15">
        <f t="shared" si="9"/>
        <v>46181</v>
      </c>
      <c r="C17" s="6" t="str">
        <f t="shared" si="5"/>
        <v>seg</v>
      </c>
      <c r="D17" s="6">
        <v>1</v>
      </c>
      <c r="E17" s="6">
        <f t="shared" si="1"/>
        <v>1</v>
      </c>
      <c r="F17" s="4">
        <f t="shared" si="12"/>
        <v>5</v>
      </c>
      <c r="G17" s="27">
        <f t="shared" si="2"/>
        <v>194047.61904761905</v>
      </c>
      <c r="H17" s="65">
        <v>9717.27</v>
      </c>
      <c r="I17" s="39">
        <f t="shared" si="6"/>
        <v>59219.520000000004</v>
      </c>
      <c r="J17" s="29">
        <f t="shared" si="3"/>
        <v>0.30518034846625769</v>
      </c>
      <c r="K17" s="90">
        <v>27</v>
      </c>
      <c r="L17" s="69">
        <v>0</v>
      </c>
      <c r="M17" s="69">
        <v>32489.74</v>
      </c>
      <c r="N17" s="69">
        <v>14292.02</v>
      </c>
      <c r="O17" s="69">
        <v>0</v>
      </c>
      <c r="P17" s="69">
        <v>8206.2900000000009</v>
      </c>
      <c r="Q17" s="69">
        <v>0</v>
      </c>
      <c r="R17" s="69">
        <v>0</v>
      </c>
      <c r="S17" s="69">
        <v>0</v>
      </c>
      <c r="T17" s="33">
        <f t="shared" si="7"/>
        <v>54988.05</v>
      </c>
      <c r="U17" s="39">
        <f t="shared" si="11"/>
        <v>182412.89</v>
      </c>
      <c r="V17" s="34">
        <f t="shared" si="8"/>
        <v>0.94004188711656445</v>
      </c>
      <c r="W17" s="76">
        <f t="shared" si="4"/>
        <v>2036.5944444444447</v>
      </c>
      <c r="X17" s="86">
        <v>103469.38</v>
      </c>
    </row>
    <row r="18" spans="2:24" ht="20.25" customHeight="1">
      <c r="B18" s="15">
        <f t="shared" si="9"/>
        <v>46182</v>
      </c>
      <c r="C18" s="6" t="str">
        <f t="shared" si="5"/>
        <v>ter</v>
      </c>
      <c r="D18" s="6">
        <v>2</v>
      </c>
      <c r="E18" s="6">
        <f t="shared" si="1"/>
        <v>1</v>
      </c>
      <c r="F18" s="4">
        <f t="shared" si="12"/>
        <v>6</v>
      </c>
      <c r="G18" s="27">
        <f t="shared" si="2"/>
        <v>232857.14285714284</v>
      </c>
      <c r="H18" s="65">
        <v>1638.34</v>
      </c>
      <c r="I18" s="39">
        <f t="shared" si="6"/>
        <v>60857.86</v>
      </c>
      <c r="J18" s="29">
        <f t="shared" si="3"/>
        <v>0.26135277300613496</v>
      </c>
      <c r="K18" s="90">
        <v>15</v>
      </c>
      <c r="L18" s="69">
        <v>0</v>
      </c>
      <c r="M18" s="69">
        <v>39914.65</v>
      </c>
      <c r="N18" s="69">
        <v>0</v>
      </c>
      <c r="O18" s="69">
        <v>4459.74</v>
      </c>
      <c r="P18" s="69">
        <v>0</v>
      </c>
      <c r="Q18" s="69">
        <v>4746.62</v>
      </c>
      <c r="R18" s="69">
        <v>0</v>
      </c>
      <c r="S18" s="69">
        <v>0</v>
      </c>
      <c r="T18" s="33">
        <f>IF(SUM(L18:S18)=0,0,SUM(L18:S18))</f>
        <v>49121.01</v>
      </c>
      <c r="U18" s="39">
        <f>IF(SUM(T18,U17)="","",SUM(T18,U17))</f>
        <v>231533.90000000002</v>
      </c>
      <c r="V18" s="34">
        <f t="shared" si="8"/>
        <v>0.99431736196319032</v>
      </c>
      <c r="W18" s="76">
        <f t="shared" si="4"/>
        <v>3274.7339999999999</v>
      </c>
      <c r="X18" s="86">
        <v>145510.51999999999</v>
      </c>
    </row>
    <row r="19" spans="2:24" ht="20.25" customHeight="1">
      <c r="B19" s="15">
        <f t="shared" si="9"/>
        <v>46183</v>
      </c>
      <c r="C19" s="6" t="str">
        <f t="shared" si="5"/>
        <v>qua</v>
      </c>
      <c r="D19" s="6">
        <v>3</v>
      </c>
      <c r="E19" s="6">
        <f t="shared" si="1"/>
        <v>1</v>
      </c>
      <c r="F19" s="4">
        <f t="shared" si="12"/>
        <v>7</v>
      </c>
      <c r="G19" s="27">
        <f t="shared" si="2"/>
        <v>271666.66666666669</v>
      </c>
      <c r="H19" s="65">
        <v>182014.83</v>
      </c>
      <c r="I19" s="39">
        <f t="shared" si="6"/>
        <v>242872.69</v>
      </c>
      <c r="J19" s="29">
        <f t="shared" si="3"/>
        <v>0.89400990184049078</v>
      </c>
      <c r="K19" s="90">
        <v>12</v>
      </c>
      <c r="L19" s="69">
        <v>0</v>
      </c>
      <c r="M19" s="69">
        <v>13179.75</v>
      </c>
      <c r="N19" s="69">
        <v>1259.7</v>
      </c>
      <c r="O19" s="88">
        <v>815.15</v>
      </c>
      <c r="P19" s="69">
        <v>0</v>
      </c>
      <c r="Q19" s="69">
        <v>2202.84</v>
      </c>
      <c r="R19" s="69">
        <v>0</v>
      </c>
      <c r="S19" s="69">
        <v>0</v>
      </c>
      <c r="T19" s="33">
        <f>IF(SUM(L19:S19)=0,0,SUM(L19:S19))</f>
        <v>17457.440000000002</v>
      </c>
      <c r="U19" s="39">
        <f>IF(SUM(T19,U18)="","",SUM(T19,U18))</f>
        <v>248991.34000000003</v>
      </c>
      <c r="V19" s="34">
        <f t="shared" si="8"/>
        <v>0.91653253987730066</v>
      </c>
      <c r="W19" s="76">
        <f t="shared" si="4"/>
        <v>1454.7866666666669</v>
      </c>
      <c r="X19" s="86">
        <v>163804.66</v>
      </c>
    </row>
    <row r="20" spans="2:24" ht="20.25" customHeight="1">
      <c r="B20" s="15">
        <f t="shared" si="9"/>
        <v>46184</v>
      </c>
      <c r="C20" s="6" t="str">
        <f t="shared" si="5"/>
        <v>qui</v>
      </c>
      <c r="D20" s="6">
        <v>4</v>
      </c>
      <c r="E20" s="6">
        <f t="shared" si="1"/>
        <v>1</v>
      </c>
      <c r="F20" s="4">
        <f t="shared" si="12"/>
        <v>8</v>
      </c>
      <c r="G20" s="27">
        <f t="shared" si="2"/>
        <v>310476.19047619047</v>
      </c>
      <c r="H20" s="65">
        <v>10178.5</v>
      </c>
      <c r="I20" s="39">
        <f t="shared" si="6"/>
        <v>253051.19</v>
      </c>
      <c r="J20" s="29">
        <f t="shared" si="3"/>
        <v>0.81504217638036813</v>
      </c>
      <c r="K20" s="91">
        <v>20</v>
      </c>
      <c r="L20" s="69">
        <v>4107.09</v>
      </c>
      <c r="M20" s="69">
        <v>6549.55</v>
      </c>
      <c r="N20" s="71">
        <v>14692.62</v>
      </c>
      <c r="O20" s="71">
        <v>5159.4799999999996</v>
      </c>
      <c r="P20" s="71">
        <v>0</v>
      </c>
      <c r="Q20" s="71">
        <v>0</v>
      </c>
      <c r="R20" s="71">
        <v>0</v>
      </c>
      <c r="S20" s="71">
        <v>0</v>
      </c>
      <c r="T20" s="33">
        <f t="shared" si="7"/>
        <v>30508.74</v>
      </c>
      <c r="U20" s="39">
        <f t="shared" si="11"/>
        <v>279500.08</v>
      </c>
      <c r="V20" s="34">
        <f t="shared" si="8"/>
        <v>0.900230319018405</v>
      </c>
      <c r="W20" s="76">
        <f t="shared" si="4"/>
        <v>1525.4370000000001</v>
      </c>
      <c r="X20" s="86">
        <v>159481.73000000001</v>
      </c>
    </row>
    <row r="21" spans="2:24" ht="20.25" customHeight="1">
      <c r="B21" s="15">
        <f t="shared" si="9"/>
        <v>46185</v>
      </c>
      <c r="C21" s="6" t="str">
        <f t="shared" si="5"/>
        <v>sex</v>
      </c>
      <c r="D21" s="6">
        <v>5</v>
      </c>
      <c r="E21" s="6">
        <f t="shared" si="1"/>
        <v>1</v>
      </c>
      <c r="F21" s="4">
        <f t="shared" ref="F21:F39" si="13">E21+F20</f>
        <v>9</v>
      </c>
      <c r="G21" s="27">
        <f t="shared" si="2"/>
        <v>349285.71428571426</v>
      </c>
      <c r="H21" s="65">
        <v>59165.36</v>
      </c>
      <c r="I21" s="39">
        <f t="shared" si="6"/>
        <v>312216.55</v>
      </c>
      <c r="J21" s="29">
        <f t="shared" si="3"/>
        <v>0.89387151329243353</v>
      </c>
      <c r="K21" s="91">
        <v>4</v>
      </c>
      <c r="L21" s="71">
        <v>0</v>
      </c>
      <c r="M21" s="71">
        <v>10183.66</v>
      </c>
      <c r="N21" s="71">
        <v>0</v>
      </c>
      <c r="O21" s="71">
        <v>0</v>
      </c>
      <c r="P21" s="71">
        <v>0</v>
      </c>
      <c r="Q21" s="71">
        <v>6718.8</v>
      </c>
      <c r="R21" s="71">
        <v>0</v>
      </c>
      <c r="S21" s="71">
        <v>0</v>
      </c>
      <c r="T21" s="33">
        <f t="shared" si="7"/>
        <v>16902.46</v>
      </c>
      <c r="U21" s="39">
        <f t="shared" si="11"/>
        <v>296402.54000000004</v>
      </c>
      <c r="V21" s="34">
        <f t="shared" si="8"/>
        <v>0.84859622903885501</v>
      </c>
      <c r="W21" s="76">
        <f t="shared" si="4"/>
        <v>4225.6149999999998</v>
      </c>
      <c r="X21" s="86">
        <v>118268.69</v>
      </c>
    </row>
    <row r="22" spans="2:24" ht="20.25" customHeight="1">
      <c r="B22" s="15">
        <f t="shared" si="9"/>
        <v>46186</v>
      </c>
      <c r="C22" s="6" t="str">
        <f t="shared" si="5"/>
        <v>sáb</v>
      </c>
      <c r="D22" s="6">
        <v>6</v>
      </c>
      <c r="E22" s="6">
        <f t="shared" si="1"/>
        <v>0</v>
      </c>
      <c r="F22" s="4">
        <f t="shared" si="13"/>
        <v>9</v>
      </c>
      <c r="G22" s="27">
        <f t="shared" si="2"/>
        <v>349285.71428571426</v>
      </c>
      <c r="H22" s="65">
        <v>24730.32</v>
      </c>
      <c r="I22" s="39">
        <f t="shared" si="6"/>
        <v>336946.87</v>
      </c>
      <c r="J22" s="29">
        <f t="shared" si="3"/>
        <v>0.96467406543967282</v>
      </c>
      <c r="K22" s="91"/>
      <c r="L22" s="71"/>
      <c r="M22" s="71"/>
      <c r="N22" s="71"/>
      <c r="O22" s="71"/>
      <c r="P22" s="71"/>
      <c r="Q22" s="71"/>
      <c r="R22" s="71"/>
      <c r="S22" s="71"/>
      <c r="T22" s="33"/>
      <c r="U22" s="39">
        <f t="shared" si="11"/>
        <v>296402.54000000004</v>
      </c>
      <c r="V22" s="34">
        <f t="shared" si="8"/>
        <v>0.84859622903885501</v>
      </c>
      <c r="W22" s="76" t="str">
        <f t="shared" si="4"/>
        <v/>
      </c>
      <c r="X22" s="86"/>
    </row>
    <row r="23" spans="2:24" ht="20.25" customHeight="1">
      <c r="B23" s="15">
        <f t="shared" si="9"/>
        <v>46187</v>
      </c>
      <c r="C23" s="6" t="str">
        <f t="shared" si="5"/>
        <v>dom</v>
      </c>
      <c r="D23" s="6">
        <v>7</v>
      </c>
      <c r="E23" s="6">
        <f t="shared" si="1"/>
        <v>0</v>
      </c>
      <c r="F23" s="4">
        <f t="shared" si="13"/>
        <v>9</v>
      </c>
      <c r="G23" s="27">
        <f t="shared" si="2"/>
        <v>349285.71428571426</v>
      </c>
      <c r="H23" s="65"/>
      <c r="I23" s="39">
        <f t="shared" si="6"/>
        <v>336946.87</v>
      </c>
      <c r="J23" s="29">
        <f t="shared" si="3"/>
        <v>0.96467406543967282</v>
      </c>
      <c r="K23" s="91"/>
      <c r="L23" s="71"/>
      <c r="M23" s="71"/>
      <c r="N23" s="71"/>
      <c r="O23" s="71"/>
      <c r="P23" s="71"/>
      <c r="Q23" s="71"/>
      <c r="R23" s="71"/>
      <c r="S23" s="71"/>
      <c r="T23" s="33">
        <f t="shared" si="7"/>
        <v>0</v>
      </c>
      <c r="U23" s="39">
        <f t="shared" si="11"/>
        <v>296402.54000000004</v>
      </c>
      <c r="V23" s="34">
        <f t="shared" si="8"/>
        <v>0.84859622903885501</v>
      </c>
      <c r="W23" s="76" t="str">
        <f t="shared" si="4"/>
        <v/>
      </c>
      <c r="X23" s="86"/>
    </row>
    <row r="24" spans="2:24" ht="20.25" customHeight="1">
      <c r="B24" s="15">
        <f>B23+1</f>
        <v>46188</v>
      </c>
      <c r="C24" s="6" t="str">
        <f t="shared" si="5"/>
        <v>seg</v>
      </c>
      <c r="D24" s="6">
        <v>1</v>
      </c>
      <c r="E24" s="6">
        <f t="shared" si="1"/>
        <v>1</v>
      </c>
      <c r="F24" s="4">
        <f>E24+F23</f>
        <v>10</v>
      </c>
      <c r="G24" s="27">
        <f t="shared" si="2"/>
        <v>388095.23809523811</v>
      </c>
      <c r="H24" s="65">
        <v>15316.56</v>
      </c>
      <c r="I24" s="39">
        <f t="shared" si="6"/>
        <v>352263.43</v>
      </c>
      <c r="J24" s="29">
        <f t="shared" si="3"/>
        <v>0.90767264171779138</v>
      </c>
      <c r="K24" s="91">
        <v>10</v>
      </c>
      <c r="L24" s="71">
        <v>0</v>
      </c>
      <c r="M24" s="71">
        <v>8552.7900000000009</v>
      </c>
      <c r="N24" s="71">
        <v>1535.1</v>
      </c>
      <c r="O24" s="71">
        <v>2260.3200000000002</v>
      </c>
      <c r="P24" s="71">
        <v>0</v>
      </c>
      <c r="Q24" s="71">
        <v>0</v>
      </c>
      <c r="R24" s="71">
        <v>0</v>
      </c>
      <c r="S24" s="71">
        <v>0</v>
      </c>
      <c r="T24" s="33">
        <f t="shared" si="7"/>
        <v>12348.210000000001</v>
      </c>
      <c r="U24" s="39">
        <f t="shared" si="11"/>
        <v>308750.75000000006</v>
      </c>
      <c r="V24" s="34">
        <f t="shared" si="8"/>
        <v>0.79555407975460135</v>
      </c>
      <c r="W24" s="76">
        <f t="shared" si="4"/>
        <v>1234.8210000000001</v>
      </c>
      <c r="X24" s="86">
        <v>116677.5</v>
      </c>
    </row>
    <row r="25" spans="2:24" ht="20.25" customHeight="1">
      <c r="B25" s="15">
        <f>B24+1</f>
        <v>46189</v>
      </c>
      <c r="C25" s="6" t="str">
        <f t="shared" si="5"/>
        <v>ter</v>
      </c>
      <c r="D25" s="6">
        <v>2</v>
      </c>
      <c r="E25" s="6">
        <f t="shared" si="1"/>
        <v>1</v>
      </c>
      <c r="F25" s="4">
        <f>E25+F24</f>
        <v>11</v>
      </c>
      <c r="G25" s="27">
        <f t="shared" si="2"/>
        <v>426904.76190476189</v>
      </c>
      <c r="H25" s="65">
        <v>17154.740000000002</v>
      </c>
      <c r="I25" s="39">
        <f t="shared" si="6"/>
        <v>369418.17</v>
      </c>
      <c r="J25" s="29">
        <f t="shared" si="3"/>
        <v>0.86534094478527601</v>
      </c>
      <c r="K25" s="91">
        <v>29</v>
      </c>
      <c r="L25" s="71">
        <v>12682.2</v>
      </c>
      <c r="M25" s="71">
        <v>26284.48</v>
      </c>
      <c r="N25" s="71">
        <v>10085.31</v>
      </c>
      <c r="O25" s="71">
        <v>4851.46</v>
      </c>
      <c r="P25" s="71">
        <v>0</v>
      </c>
      <c r="Q25" s="71">
        <v>15313.68</v>
      </c>
      <c r="R25" s="71">
        <v>0</v>
      </c>
      <c r="S25" s="71">
        <v>0</v>
      </c>
      <c r="T25" s="33">
        <f>IF(SUM(L25:S25)=0,0,SUM(L25:S25))</f>
        <v>69217.13</v>
      </c>
      <c r="U25" s="39">
        <f t="shared" si="11"/>
        <v>377967.88000000006</v>
      </c>
      <c r="V25" s="34">
        <f t="shared" si="8"/>
        <v>0.88536815170105987</v>
      </c>
      <c r="W25" s="76">
        <f t="shared" si="4"/>
        <v>2386.7975862068965</v>
      </c>
      <c r="X25" s="86">
        <v>168739.89</v>
      </c>
    </row>
    <row r="26" spans="2:24" ht="20.25" customHeight="1">
      <c r="B26" s="15">
        <f t="shared" si="9"/>
        <v>46190</v>
      </c>
      <c r="C26" s="6" t="str">
        <f t="shared" si="5"/>
        <v>qua</v>
      </c>
      <c r="D26" s="6">
        <v>3</v>
      </c>
      <c r="E26" s="6">
        <f t="shared" si="1"/>
        <v>1</v>
      </c>
      <c r="F26" s="4">
        <f>E26+F25</f>
        <v>12</v>
      </c>
      <c r="G26" s="27">
        <f t="shared" si="2"/>
        <v>465714.28571428568</v>
      </c>
      <c r="H26" s="65">
        <v>5735.58</v>
      </c>
      <c r="I26" s="39">
        <f t="shared" si="6"/>
        <v>375153.75</v>
      </c>
      <c r="J26" s="29">
        <f t="shared" si="3"/>
        <v>0.8055448619631902</v>
      </c>
      <c r="K26" s="91">
        <v>7</v>
      </c>
      <c r="L26" s="71">
        <v>21111.87</v>
      </c>
      <c r="M26" s="71">
        <v>13849.32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33">
        <f t="shared" si="7"/>
        <v>34961.19</v>
      </c>
      <c r="U26" s="39">
        <f t="shared" si="11"/>
        <v>412929.07000000007</v>
      </c>
      <c r="V26" s="34">
        <f t="shared" si="8"/>
        <v>0.88665751226993883</v>
      </c>
      <c r="W26" s="76">
        <f t="shared" si="4"/>
        <v>4994.4557142857147</v>
      </c>
      <c r="X26" s="86">
        <v>198033.66</v>
      </c>
    </row>
    <row r="27" spans="2:24" ht="20.25" customHeight="1">
      <c r="B27" s="15">
        <f t="shared" si="9"/>
        <v>46191</v>
      </c>
      <c r="C27" s="6" t="str">
        <f t="shared" si="5"/>
        <v>qui</v>
      </c>
      <c r="D27" s="6">
        <v>4</v>
      </c>
      <c r="E27" s="6">
        <f t="shared" si="1"/>
        <v>1</v>
      </c>
      <c r="F27" s="4">
        <f t="shared" si="13"/>
        <v>13</v>
      </c>
      <c r="G27" s="27">
        <f t="shared" si="2"/>
        <v>504523.80952380953</v>
      </c>
      <c r="H27" s="65">
        <v>59725.78</v>
      </c>
      <c r="I27" s="39">
        <f t="shared" si="6"/>
        <v>434879.53</v>
      </c>
      <c r="J27" s="29">
        <f t="shared" si="3"/>
        <v>0.86196037092968392</v>
      </c>
      <c r="K27" s="91">
        <v>18</v>
      </c>
      <c r="L27" s="71">
        <v>54958.28</v>
      </c>
      <c r="M27" s="71">
        <v>15378.66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33">
        <f t="shared" si="7"/>
        <v>70336.94</v>
      </c>
      <c r="U27" s="39">
        <f t="shared" si="11"/>
        <v>483266.01000000007</v>
      </c>
      <c r="V27" s="34">
        <f t="shared" si="8"/>
        <v>0.95786561680037763</v>
      </c>
      <c r="W27" s="76">
        <f t="shared" si="4"/>
        <v>3907.6077777777778</v>
      </c>
      <c r="X27" s="86">
        <v>207408.13</v>
      </c>
    </row>
    <row r="28" spans="2:24" ht="20.25" customHeight="1">
      <c r="B28" s="15">
        <f t="shared" si="9"/>
        <v>46192</v>
      </c>
      <c r="C28" s="6" t="str">
        <f t="shared" si="5"/>
        <v>sex</v>
      </c>
      <c r="D28" s="6">
        <v>5</v>
      </c>
      <c r="E28" s="6">
        <f t="shared" si="1"/>
        <v>1</v>
      </c>
      <c r="F28" s="4">
        <f t="shared" si="13"/>
        <v>14</v>
      </c>
      <c r="G28" s="27">
        <f t="shared" si="2"/>
        <v>543333.33333333337</v>
      </c>
      <c r="H28" s="65">
        <v>39023.68</v>
      </c>
      <c r="I28" s="39">
        <f t="shared" si="6"/>
        <v>473903.21</v>
      </c>
      <c r="J28" s="29">
        <f t="shared" si="3"/>
        <v>0.87221449693251529</v>
      </c>
      <c r="K28" s="91">
        <v>9</v>
      </c>
      <c r="L28" s="71">
        <v>3049.11</v>
      </c>
      <c r="M28" s="71">
        <v>7521.22</v>
      </c>
      <c r="N28" s="71">
        <v>1782.8</v>
      </c>
      <c r="O28" s="71">
        <v>0</v>
      </c>
      <c r="P28" s="71">
        <v>55346.9</v>
      </c>
      <c r="Q28" s="71">
        <v>0</v>
      </c>
      <c r="R28" s="71">
        <v>0</v>
      </c>
      <c r="S28" s="71">
        <v>0</v>
      </c>
      <c r="T28" s="33">
        <f t="shared" si="7"/>
        <v>67700.03</v>
      </c>
      <c r="U28" s="39">
        <f t="shared" si="11"/>
        <v>550966.04</v>
      </c>
      <c r="V28" s="34">
        <f t="shared" si="8"/>
        <v>1.0140479263803681</v>
      </c>
      <c r="W28" s="76">
        <f t="shared" si="4"/>
        <v>7522.2255555555557</v>
      </c>
      <c r="X28" s="86">
        <v>224532.67</v>
      </c>
    </row>
    <row r="29" spans="2:24" ht="20.25" customHeight="1">
      <c r="B29" s="15">
        <f t="shared" si="9"/>
        <v>46193</v>
      </c>
      <c r="C29" s="6" t="str">
        <f t="shared" si="5"/>
        <v>sáb</v>
      </c>
      <c r="D29" s="6">
        <v>6</v>
      </c>
      <c r="E29" s="6">
        <f t="shared" si="1"/>
        <v>0</v>
      </c>
      <c r="F29" s="4">
        <f t="shared" si="13"/>
        <v>14</v>
      </c>
      <c r="G29" s="27">
        <f t="shared" si="2"/>
        <v>543333.33333333337</v>
      </c>
      <c r="H29" s="65"/>
      <c r="I29" s="39">
        <f t="shared" si="6"/>
        <v>473903.21</v>
      </c>
      <c r="J29" s="29">
        <f t="shared" si="3"/>
        <v>0.87221449693251529</v>
      </c>
      <c r="K29" s="91"/>
      <c r="L29" s="71"/>
      <c r="M29" s="71"/>
      <c r="N29" s="71"/>
      <c r="O29" s="71"/>
      <c r="P29" s="71"/>
      <c r="Q29" s="71"/>
      <c r="R29" s="71"/>
      <c r="S29" s="71"/>
      <c r="T29" s="33">
        <f t="shared" si="7"/>
        <v>0</v>
      </c>
      <c r="U29" s="39">
        <f t="shared" si="11"/>
        <v>550966.04</v>
      </c>
      <c r="V29" s="34">
        <f t="shared" si="8"/>
        <v>1.0140479263803681</v>
      </c>
      <c r="W29" s="76" t="str">
        <f t="shared" si="4"/>
        <v/>
      </c>
      <c r="X29" s="86"/>
    </row>
    <row r="30" spans="2:24" ht="20.25" customHeight="1">
      <c r="B30" s="15">
        <f t="shared" si="9"/>
        <v>46194</v>
      </c>
      <c r="C30" s="6" t="str">
        <f t="shared" si="5"/>
        <v>dom</v>
      </c>
      <c r="D30" s="6">
        <v>7</v>
      </c>
      <c r="E30" s="6">
        <f t="shared" si="1"/>
        <v>0</v>
      </c>
      <c r="F30" s="4">
        <f t="shared" si="13"/>
        <v>14</v>
      </c>
      <c r="G30" s="27">
        <f t="shared" si="2"/>
        <v>543333.33333333337</v>
      </c>
      <c r="H30" s="65"/>
      <c r="I30" s="39">
        <f t="shared" si="6"/>
        <v>473903.21</v>
      </c>
      <c r="J30" s="29">
        <f t="shared" si="3"/>
        <v>0.87221449693251529</v>
      </c>
      <c r="K30" s="91"/>
      <c r="L30" s="71"/>
      <c r="M30" s="71"/>
      <c r="N30" s="71"/>
      <c r="O30" s="71"/>
      <c r="P30" s="71"/>
      <c r="Q30" s="71"/>
      <c r="R30" s="71"/>
      <c r="S30" s="71"/>
      <c r="T30" s="33">
        <f t="shared" si="7"/>
        <v>0</v>
      </c>
      <c r="U30" s="39">
        <f t="shared" si="11"/>
        <v>550966.04</v>
      </c>
      <c r="V30" s="34">
        <f t="shared" si="8"/>
        <v>1.0140479263803681</v>
      </c>
      <c r="W30" s="76" t="str">
        <f t="shared" si="4"/>
        <v/>
      </c>
      <c r="X30" s="86"/>
    </row>
    <row r="31" spans="2:24" ht="20.25" customHeight="1">
      <c r="B31" s="15">
        <f t="shared" si="9"/>
        <v>46195</v>
      </c>
      <c r="C31" s="6" t="str">
        <f t="shared" si="5"/>
        <v>seg</v>
      </c>
      <c r="D31" s="6">
        <v>1</v>
      </c>
      <c r="E31" s="6">
        <f t="shared" si="1"/>
        <v>1</v>
      </c>
      <c r="F31" s="4">
        <f t="shared" si="13"/>
        <v>15</v>
      </c>
      <c r="G31" s="27">
        <f t="shared" si="2"/>
        <v>582142.85714285716</v>
      </c>
      <c r="H31" s="65">
        <v>36302.230000000003</v>
      </c>
      <c r="I31" s="39">
        <f t="shared" si="6"/>
        <v>510205.44</v>
      </c>
      <c r="J31" s="29">
        <f t="shared" si="3"/>
        <v>0.87642652269938648</v>
      </c>
      <c r="K31" s="91">
        <v>12</v>
      </c>
      <c r="L31" s="71">
        <v>12123.09</v>
      </c>
      <c r="M31" s="71">
        <v>950.64</v>
      </c>
      <c r="N31" s="71">
        <v>5111.59</v>
      </c>
      <c r="O31" s="71">
        <v>4859.16</v>
      </c>
      <c r="P31" s="71">
        <v>0</v>
      </c>
      <c r="Q31" s="71">
        <v>0</v>
      </c>
      <c r="R31" s="71">
        <v>0</v>
      </c>
      <c r="S31" s="71">
        <v>0</v>
      </c>
      <c r="T31" s="33">
        <f t="shared" si="7"/>
        <v>23044.48</v>
      </c>
      <c r="U31" s="39">
        <f t="shared" si="11"/>
        <v>574010.52</v>
      </c>
      <c r="V31" s="34">
        <f t="shared" si="8"/>
        <v>0.98603034110429444</v>
      </c>
      <c r="W31" s="76">
        <f t="shared" si="4"/>
        <v>1920.3733333333332</v>
      </c>
      <c r="X31" s="86">
        <v>198546.52</v>
      </c>
    </row>
    <row r="32" spans="2:24" ht="20.25" customHeight="1">
      <c r="B32" s="15">
        <f>B31+1</f>
        <v>46196</v>
      </c>
      <c r="C32" s="6" t="str">
        <f t="shared" si="5"/>
        <v>ter</v>
      </c>
      <c r="D32" s="6">
        <v>2</v>
      </c>
      <c r="E32" s="6">
        <f t="shared" si="1"/>
        <v>1</v>
      </c>
      <c r="F32" s="4">
        <f>E32+F31</f>
        <v>16</v>
      </c>
      <c r="G32" s="27">
        <f t="shared" si="2"/>
        <v>620952.38095238095</v>
      </c>
      <c r="H32" s="65">
        <v>31674.28</v>
      </c>
      <c r="I32" s="39">
        <f t="shared" si="6"/>
        <v>541879.72</v>
      </c>
      <c r="J32" s="29">
        <f t="shared" si="3"/>
        <v>0.87265905828220858</v>
      </c>
      <c r="K32" s="91">
        <v>13</v>
      </c>
      <c r="L32" s="71">
        <v>0</v>
      </c>
      <c r="M32" s="71">
        <v>33861.08</v>
      </c>
      <c r="N32" s="71">
        <v>0</v>
      </c>
      <c r="O32" s="71">
        <v>3052.8</v>
      </c>
      <c r="P32" s="71">
        <v>0</v>
      </c>
      <c r="Q32" s="71">
        <v>0</v>
      </c>
      <c r="R32" s="71">
        <v>0</v>
      </c>
      <c r="S32" s="71">
        <v>0</v>
      </c>
      <c r="T32" s="33">
        <f t="shared" si="7"/>
        <v>36913.880000000005</v>
      </c>
      <c r="U32" s="39">
        <f>IF(SUM(T32,U31)="","",SUM(T32,U31))</f>
        <v>610924.4</v>
      </c>
      <c r="V32" s="34">
        <f t="shared" si="8"/>
        <v>0.98385064417177914</v>
      </c>
      <c r="W32" s="76">
        <f t="shared" si="4"/>
        <v>2839.5292307692312</v>
      </c>
      <c r="X32" s="86">
        <v>224417.13</v>
      </c>
    </row>
    <row r="33" spans="2:24" ht="20.25" customHeight="1">
      <c r="B33" s="15">
        <f>B32+1</f>
        <v>46197</v>
      </c>
      <c r="C33" s="6" t="str">
        <f t="shared" si="5"/>
        <v>qua</v>
      </c>
      <c r="D33" s="6">
        <v>3</v>
      </c>
      <c r="E33" s="6">
        <f t="shared" si="1"/>
        <v>1</v>
      </c>
      <c r="F33" s="4">
        <f>E33+F32</f>
        <v>17</v>
      </c>
      <c r="G33" s="27">
        <f t="shared" si="2"/>
        <v>659761.90476190473</v>
      </c>
      <c r="H33" s="65">
        <v>20396.5</v>
      </c>
      <c r="I33" s="39">
        <f t="shared" si="6"/>
        <v>562276.22</v>
      </c>
      <c r="J33" s="29">
        <f t="shared" si="3"/>
        <v>0.85224111295561167</v>
      </c>
      <c r="K33" s="91">
        <v>3</v>
      </c>
      <c r="L33" s="71">
        <v>1061.21</v>
      </c>
      <c r="M33" s="71">
        <v>0</v>
      </c>
      <c r="N33" s="71">
        <v>4127.1000000000004</v>
      </c>
      <c r="O33" s="71">
        <v>0</v>
      </c>
      <c r="P33" s="71">
        <v>0</v>
      </c>
      <c r="Q33" s="71">
        <v>0</v>
      </c>
      <c r="R33" s="71">
        <v>0</v>
      </c>
      <c r="S33" s="71">
        <v>0</v>
      </c>
      <c r="T33" s="33">
        <f t="shared" si="7"/>
        <v>5188.3100000000004</v>
      </c>
      <c r="U33" s="39">
        <f>IF(SUM(T33,U32)="","",SUM(T33,U32))</f>
        <v>616112.71000000008</v>
      </c>
      <c r="V33" s="34">
        <f t="shared" si="8"/>
        <v>0.93384098953446426</v>
      </c>
      <c r="W33" s="76">
        <f t="shared" si="4"/>
        <v>1729.4366666666667</v>
      </c>
      <c r="X33" s="86"/>
    </row>
    <row r="34" spans="2:24" ht="20.25" customHeight="1">
      <c r="B34" s="15">
        <f t="shared" si="9"/>
        <v>46198</v>
      </c>
      <c r="C34" s="6" t="str">
        <f t="shared" si="5"/>
        <v>qui</v>
      </c>
      <c r="D34" s="6">
        <v>4</v>
      </c>
      <c r="E34" s="6">
        <f t="shared" si="1"/>
        <v>1</v>
      </c>
      <c r="F34" s="4">
        <f t="shared" si="13"/>
        <v>18</v>
      </c>
      <c r="G34" s="27">
        <f t="shared" si="2"/>
        <v>698571.42857142852</v>
      </c>
      <c r="H34" s="65">
        <v>54932.88</v>
      </c>
      <c r="I34" s="39">
        <f t="shared" si="6"/>
        <v>617209.1</v>
      </c>
      <c r="J34" s="29">
        <f t="shared" si="3"/>
        <v>0.88353040899795499</v>
      </c>
      <c r="K34" s="91">
        <v>14</v>
      </c>
      <c r="L34" s="71">
        <v>0</v>
      </c>
      <c r="M34" s="71">
        <v>18748.009999999998</v>
      </c>
      <c r="N34" s="71">
        <v>2070.7199999999998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33">
        <f t="shared" si="7"/>
        <v>20818.73</v>
      </c>
      <c r="U34" s="39">
        <f>IF(SUM(T34,U33)="","",SUM(T34,U33))</f>
        <v>636931.44000000006</v>
      </c>
      <c r="V34" s="34">
        <f t="shared" si="8"/>
        <v>0.91176279754601242</v>
      </c>
      <c r="W34" s="76">
        <f t="shared" si="4"/>
        <v>1487.0521428571428</v>
      </c>
      <c r="X34" s="86">
        <v>165299.79</v>
      </c>
    </row>
    <row r="35" spans="2:24" ht="20.25" customHeight="1">
      <c r="B35" s="15">
        <f t="shared" si="9"/>
        <v>46199</v>
      </c>
      <c r="C35" s="6" t="str">
        <f t="shared" si="5"/>
        <v>sex</v>
      </c>
      <c r="D35" s="6">
        <v>5</v>
      </c>
      <c r="E35" s="6">
        <f t="shared" si="1"/>
        <v>1</v>
      </c>
      <c r="F35" s="4">
        <f t="shared" si="13"/>
        <v>19</v>
      </c>
      <c r="G35" s="27">
        <f t="shared" si="2"/>
        <v>737380.95238095243</v>
      </c>
      <c r="H35" s="65">
        <v>107067.69</v>
      </c>
      <c r="I35" s="39">
        <f t="shared" si="6"/>
        <v>724276.79</v>
      </c>
      <c r="J35" s="29">
        <f t="shared" si="3"/>
        <v>0.9822287755892799</v>
      </c>
      <c r="K35" s="91">
        <v>6</v>
      </c>
      <c r="L35" s="71">
        <v>0</v>
      </c>
      <c r="M35" s="71">
        <v>22855.8</v>
      </c>
      <c r="N35" s="71">
        <v>2316.8000000000002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33">
        <f t="shared" si="7"/>
        <v>25172.6</v>
      </c>
      <c r="U35" s="39">
        <f t="shared" si="11"/>
        <v>662104.04</v>
      </c>
      <c r="V35" s="34">
        <f t="shared" si="8"/>
        <v>0.89791313141750084</v>
      </c>
      <c r="W35" s="76">
        <f t="shared" si="4"/>
        <v>4195.4333333333334</v>
      </c>
      <c r="X35" s="86"/>
    </row>
    <row r="36" spans="2:24" ht="20.25" customHeight="1">
      <c r="B36" s="15">
        <f t="shared" si="9"/>
        <v>46200</v>
      </c>
      <c r="C36" s="6" t="str">
        <f t="shared" si="5"/>
        <v>sáb</v>
      </c>
      <c r="D36" s="6">
        <v>6</v>
      </c>
      <c r="E36" s="6">
        <f t="shared" si="1"/>
        <v>0</v>
      </c>
      <c r="F36" s="4">
        <f t="shared" si="13"/>
        <v>19</v>
      </c>
      <c r="G36" s="27">
        <f t="shared" si="2"/>
        <v>737380.95238095243</v>
      </c>
      <c r="H36" s="65"/>
      <c r="I36" s="39">
        <f t="shared" si="6"/>
        <v>724276.79</v>
      </c>
      <c r="J36" s="29">
        <f t="shared" si="3"/>
        <v>0.9822287755892799</v>
      </c>
      <c r="K36" s="91"/>
      <c r="L36" s="71"/>
      <c r="M36" s="71"/>
      <c r="N36" s="71"/>
      <c r="O36" s="71"/>
      <c r="P36" s="71"/>
      <c r="Q36" s="71"/>
      <c r="R36" s="71"/>
      <c r="S36" s="71"/>
      <c r="T36" s="33">
        <f t="shared" si="7"/>
        <v>0</v>
      </c>
      <c r="U36" s="39">
        <f t="shared" si="11"/>
        <v>662104.04</v>
      </c>
      <c r="V36" s="34">
        <f t="shared" si="8"/>
        <v>0.89791313141750084</v>
      </c>
      <c r="W36" s="76" t="str">
        <f t="shared" si="4"/>
        <v/>
      </c>
      <c r="X36" s="86"/>
    </row>
    <row r="37" spans="2:24" ht="20.25" customHeight="1">
      <c r="B37" s="15">
        <f t="shared" si="9"/>
        <v>46201</v>
      </c>
      <c r="C37" s="6" t="str">
        <f t="shared" si="5"/>
        <v>dom</v>
      </c>
      <c r="D37" s="6">
        <v>7</v>
      </c>
      <c r="E37" s="6">
        <f t="shared" si="1"/>
        <v>0</v>
      </c>
      <c r="F37" s="4">
        <f t="shared" si="13"/>
        <v>19</v>
      </c>
      <c r="G37" s="27">
        <f t="shared" si="2"/>
        <v>737380.95238095243</v>
      </c>
      <c r="H37" s="65"/>
      <c r="I37" s="39">
        <f t="shared" si="6"/>
        <v>724276.79</v>
      </c>
      <c r="J37" s="29">
        <f t="shared" si="3"/>
        <v>0.9822287755892799</v>
      </c>
      <c r="K37" s="91"/>
      <c r="L37" s="71"/>
      <c r="M37" s="71"/>
      <c r="N37" s="71"/>
      <c r="O37" s="71"/>
      <c r="P37" s="71"/>
      <c r="Q37" s="71"/>
      <c r="R37" s="71"/>
      <c r="S37" s="71"/>
      <c r="T37" s="33">
        <f t="shared" si="7"/>
        <v>0</v>
      </c>
      <c r="U37" s="39">
        <f t="shared" si="11"/>
        <v>662104.04</v>
      </c>
      <c r="V37" s="34">
        <f t="shared" si="8"/>
        <v>0.89791313141750084</v>
      </c>
      <c r="W37" s="76" t="str">
        <f t="shared" si="4"/>
        <v/>
      </c>
      <c r="X37" s="86"/>
    </row>
    <row r="38" spans="2:24" ht="20.25" customHeight="1">
      <c r="B38" s="15">
        <f t="shared" si="9"/>
        <v>46202</v>
      </c>
      <c r="C38" s="6" t="str">
        <f t="shared" si="5"/>
        <v>seg</v>
      </c>
      <c r="D38" s="6">
        <v>1</v>
      </c>
      <c r="E38" s="6">
        <f t="shared" si="1"/>
        <v>1</v>
      </c>
      <c r="F38" s="4">
        <f t="shared" si="13"/>
        <v>20</v>
      </c>
      <c r="G38" s="27">
        <f t="shared" si="2"/>
        <v>776190.47619047621</v>
      </c>
      <c r="H38" s="65">
        <v>22522.58</v>
      </c>
      <c r="I38" s="39">
        <f t="shared" si="6"/>
        <v>746799.37</v>
      </c>
      <c r="J38" s="29">
        <f t="shared" si="3"/>
        <v>0.96213415766871158</v>
      </c>
      <c r="K38" s="91">
        <v>6</v>
      </c>
      <c r="L38" s="71">
        <v>0</v>
      </c>
      <c r="M38" s="71">
        <v>4819.24</v>
      </c>
      <c r="N38" s="71">
        <v>1177.9000000000001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33">
        <f t="shared" si="7"/>
        <v>5997.1399999999994</v>
      </c>
      <c r="U38" s="39">
        <f t="shared" si="11"/>
        <v>668101.18000000005</v>
      </c>
      <c r="V38" s="34">
        <f t="shared" si="8"/>
        <v>0.86074385153374233</v>
      </c>
      <c r="W38" s="76">
        <f t="shared" si="4"/>
        <v>999.5233333333332</v>
      </c>
      <c r="X38" s="86">
        <v>70941.649999999994</v>
      </c>
    </row>
    <row r="39" spans="2:24" ht="20.25" customHeight="1">
      <c r="B39" s="15">
        <f t="shared" si="9"/>
        <v>46203</v>
      </c>
      <c r="C39" s="6" t="str">
        <f t="shared" si="5"/>
        <v>ter</v>
      </c>
      <c r="D39" s="6">
        <v>2</v>
      </c>
      <c r="E39" s="6">
        <f t="shared" si="1"/>
        <v>1</v>
      </c>
      <c r="F39" s="4">
        <f t="shared" si="13"/>
        <v>21</v>
      </c>
      <c r="G39" s="27">
        <f t="shared" si="2"/>
        <v>815000</v>
      </c>
      <c r="H39" s="65">
        <v>58727.519999999997</v>
      </c>
      <c r="I39" s="39">
        <f t="shared" si="6"/>
        <v>805526.89</v>
      </c>
      <c r="J39" s="29">
        <f t="shared" si="3"/>
        <v>0.9883765521472393</v>
      </c>
      <c r="K39" s="91">
        <v>22</v>
      </c>
      <c r="L39" s="71">
        <v>14843.72</v>
      </c>
      <c r="M39" s="71">
        <v>48209.64</v>
      </c>
      <c r="N39" s="71">
        <v>654.95000000000005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33">
        <f t="shared" si="7"/>
        <v>63708.31</v>
      </c>
      <c r="U39" s="39">
        <f t="shared" si="11"/>
        <v>731809.49</v>
      </c>
      <c r="V39" s="34">
        <f t="shared" si="8"/>
        <v>0.89792575460122703</v>
      </c>
      <c r="W39" s="76">
        <f t="shared" si="4"/>
        <v>2895.8322727272725</v>
      </c>
      <c r="X39" s="86">
        <v>72441.289999999994</v>
      </c>
    </row>
    <row r="40" spans="2:24" ht="20.25" customHeight="1">
      <c r="B40" s="16">
        <f>B39+1</f>
        <v>46204</v>
      </c>
      <c r="C40" s="17" t="str">
        <f>TEXT(B40,"ddd")</f>
        <v>qua</v>
      </c>
      <c r="D40" s="17">
        <v>2</v>
      </c>
      <c r="E40" s="6">
        <f t="shared" si="1"/>
        <v>1</v>
      </c>
      <c r="F40" s="18">
        <f>E40+F39</f>
        <v>22</v>
      </c>
      <c r="G40" s="28">
        <f>IF(F40&lt;1,"",$H$5*F40)</f>
        <v>853809.52380952379</v>
      </c>
      <c r="H40" s="67"/>
      <c r="I40" s="44">
        <f t="shared" si="6"/>
        <v>805526.89</v>
      </c>
      <c r="J40" s="30">
        <f t="shared" si="3"/>
        <v>0.94345034523145566</v>
      </c>
      <c r="K40" s="92"/>
      <c r="L40" s="73"/>
      <c r="M40" s="73"/>
      <c r="N40" s="73"/>
      <c r="O40" s="73"/>
      <c r="P40" s="73"/>
      <c r="Q40" s="73"/>
      <c r="R40" s="73"/>
      <c r="S40" s="73"/>
      <c r="T40" s="37">
        <f t="shared" si="7"/>
        <v>0</v>
      </c>
      <c r="U40" s="44">
        <f t="shared" si="11"/>
        <v>731809.49</v>
      </c>
      <c r="V40" s="78">
        <f t="shared" si="8"/>
        <v>0.8571109475738985</v>
      </c>
      <c r="W40" s="77" t="str">
        <f t="shared" si="4"/>
        <v/>
      </c>
      <c r="X40" s="87"/>
    </row>
    <row r="41" spans="2:24" ht="24" customHeight="1"/>
    <row r="43" spans="2:24" ht="14.25" customHeight="1">
      <c r="H43" s="3" t="s">
        <v>44</v>
      </c>
      <c r="I43" s="3" t="s">
        <v>45</v>
      </c>
      <c r="J43" s="3" t="s">
        <v>46</v>
      </c>
      <c r="K43" s="3" t="s">
        <v>47</v>
      </c>
      <c r="L43" s="3" t="s">
        <v>48</v>
      </c>
    </row>
    <row r="44" spans="2:24" ht="14.25" customHeight="1">
      <c r="H44" s="94">
        <f>B10</f>
        <v>46174</v>
      </c>
      <c r="I44" s="95">
        <f>G10</f>
        <v>38809.523809523809</v>
      </c>
      <c r="J44" s="95">
        <f>U10</f>
        <v>14019.64</v>
      </c>
      <c r="K44" s="95" t="str">
        <f>IF(I44&gt;J44,"",J44)</f>
        <v/>
      </c>
      <c r="L44" s="95">
        <f t="shared" ref="L44:L74" si="14">IF(I44&lt;J44,"",J44)</f>
        <v>14019.64</v>
      </c>
    </row>
    <row r="45" spans="2:24" ht="14.25" customHeight="1">
      <c r="H45" s="94">
        <f t="shared" ref="H45:H73" si="15">B11</f>
        <v>46175</v>
      </c>
      <c r="I45" s="95">
        <f t="shared" ref="I45:I73" si="16">G11</f>
        <v>77619.047619047618</v>
      </c>
      <c r="J45" s="95">
        <f t="shared" ref="J45:J73" si="17">U11</f>
        <v>39324.239999999998</v>
      </c>
      <c r="K45" s="95" t="str">
        <f t="shared" ref="K45:K73" si="18">IF(I45&gt;J45,"",J45)</f>
        <v/>
      </c>
      <c r="L45" s="95">
        <f t="shared" si="14"/>
        <v>39324.239999999998</v>
      </c>
    </row>
    <row r="46" spans="2:24" ht="14.25" customHeight="1">
      <c r="H46" s="94">
        <f t="shared" si="15"/>
        <v>46176</v>
      </c>
      <c r="I46" s="95">
        <f t="shared" si="16"/>
        <v>116428.57142857142</v>
      </c>
      <c r="J46" s="95">
        <f t="shared" si="17"/>
        <v>55149.88</v>
      </c>
      <c r="K46" s="95" t="str">
        <f t="shared" si="18"/>
        <v/>
      </c>
      <c r="L46" s="95">
        <f t="shared" si="14"/>
        <v>55149.88</v>
      </c>
    </row>
    <row r="47" spans="2:24" ht="14.25" customHeight="1">
      <c r="H47" s="94">
        <f t="shared" si="15"/>
        <v>46177</v>
      </c>
      <c r="I47" s="95">
        <f t="shared" si="16"/>
        <v>116428.57142857142</v>
      </c>
      <c r="J47" s="95">
        <f t="shared" si="17"/>
        <v>55149.88</v>
      </c>
      <c r="K47" s="95" t="str">
        <f t="shared" si="18"/>
        <v/>
      </c>
      <c r="L47" s="95">
        <f t="shared" si="14"/>
        <v>55149.88</v>
      </c>
    </row>
    <row r="48" spans="2:24" ht="14.25" customHeight="1">
      <c r="H48" s="94">
        <f t="shared" si="15"/>
        <v>46178</v>
      </c>
      <c r="I48" s="95">
        <f t="shared" si="16"/>
        <v>155238.09523809524</v>
      </c>
      <c r="J48" s="95">
        <f t="shared" si="17"/>
        <v>127424.84</v>
      </c>
      <c r="K48" s="95" t="str">
        <f t="shared" si="18"/>
        <v/>
      </c>
      <c r="L48" s="95">
        <f t="shared" si="14"/>
        <v>127424.84</v>
      </c>
    </row>
    <row r="49" spans="8:12" ht="14.25" customHeight="1">
      <c r="H49" s="94">
        <f t="shared" si="15"/>
        <v>46179</v>
      </c>
      <c r="I49" s="95">
        <f t="shared" si="16"/>
        <v>155238.09523809524</v>
      </c>
      <c r="J49" s="95">
        <f t="shared" si="17"/>
        <v>127424.84</v>
      </c>
      <c r="K49" s="95" t="str">
        <f t="shared" si="18"/>
        <v/>
      </c>
      <c r="L49" s="95">
        <f t="shared" si="14"/>
        <v>127424.84</v>
      </c>
    </row>
    <row r="50" spans="8:12" ht="14.25" customHeight="1">
      <c r="H50" s="94">
        <f t="shared" si="15"/>
        <v>46180</v>
      </c>
      <c r="I50" s="95">
        <f t="shared" si="16"/>
        <v>155238.09523809524</v>
      </c>
      <c r="J50" s="95">
        <f t="shared" si="17"/>
        <v>127424.84</v>
      </c>
      <c r="K50" s="95" t="str">
        <f t="shared" si="18"/>
        <v/>
      </c>
      <c r="L50" s="95">
        <f t="shared" si="14"/>
        <v>127424.84</v>
      </c>
    </row>
    <row r="51" spans="8:12" ht="14.25" customHeight="1">
      <c r="H51" s="94">
        <f t="shared" si="15"/>
        <v>46181</v>
      </c>
      <c r="I51" s="95">
        <f t="shared" si="16"/>
        <v>194047.61904761905</v>
      </c>
      <c r="J51" s="95">
        <f t="shared" si="17"/>
        <v>182412.89</v>
      </c>
      <c r="K51" s="95" t="str">
        <f t="shared" si="18"/>
        <v/>
      </c>
      <c r="L51" s="95">
        <f t="shared" si="14"/>
        <v>182412.89</v>
      </c>
    </row>
    <row r="52" spans="8:12" ht="14.25" customHeight="1">
      <c r="H52" s="94">
        <f t="shared" si="15"/>
        <v>46182</v>
      </c>
      <c r="I52" s="95">
        <f t="shared" si="16"/>
        <v>232857.14285714284</v>
      </c>
      <c r="J52" s="95">
        <f t="shared" si="17"/>
        <v>231533.90000000002</v>
      </c>
      <c r="K52" s="95" t="str">
        <f t="shared" si="18"/>
        <v/>
      </c>
      <c r="L52" s="95">
        <f t="shared" si="14"/>
        <v>231533.90000000002</v>
      </c>
    </row>
    <row r="53" spans="8:12" ht="14.25" customHeight="1">
      <c r="H53" s="94">
        <f t="shared" si="15"/>
        <v>46183</v>
      </c>
      <c r="I53" s="95">
        <f t="shared" si="16"/>
        <v>271666.66666666669</v>
      </c>
      <c r="J53" s="95">
        <f t="shared" si="17"/>
        <v>248991.34000000003</v>
      </c>
      <c r="K53" s="95" t="str">
        <f t="shared" si="18"/>
        <v/>
      </c>
      <c r="L53" s="95">
        <f t="shared" si="14"/>
        <v>248991.34000000003</v>
      </c>
    </row>
    <row r="54" spans="8:12" ht="14.25" customHeight="1">
      <c r="H54" s="94">
        <f t="shared" si="15"/>
        <v>46184</v>
      </c>
      <c r="I54" s="95">
        <f t="shared" si="16"/>
        <v>310476.19047619047</v>
      </c>
      <c r="J54" s="95">
        <f t="shared" si="17"/>
        <v>279500.08</v>
      </c>
      <c r="K54" s="95" t="str">
        <f t="shared" si="18"/>
        <v/>
      </c>
      <c r="L54" s="95">
        <f t="shared" si="14"/>
        <v>279500.08</v>
      </c>
    </row>
    <row r="55" spans="8:12" ht="14.25" customHeight="1">
      <c r="H55" s="94">
        <f t="shared" si="15"/>
        <v>46185</v>
      </c>
      <c r="I55" s="95">
        <f t="shared" si="16"/>
        <v>349285.71428571426</v>
      </c>
      <c r="J55" s="95">
        <f t="shared" si="17"/>
        <v>296402.54000000004</v>
      </c>
      <c r="K55" s="95" t="str">
        <f t="shared" si="18"/>
        <v/>
      </c>
      <c r="L55" s="95">
        <f t="shared" si="14"/>
        <v>296402.54000000004</v>
      </c>
    </row>
    <row r="56" spans="8:12" ht="14.25" customHeight="1">
      <c r="H56" s="94">
        <f t="shared" si="15"/>
        <v>46186</v>
      </c>
      <c r="I56" s="95">
        <f t="shared" si="16"/>
        <v>349285.71428571426</v>
      </c>
      <c r="J56" s="95">
        <f t="shared" si="17"/>
        <v>296402.54000000004</v>
      </c>
      <c r="K56" s="95" t="str">
        <f t="shared" si="18"/>
        <v/>
      </c>
      <c r="L56" s="95">
        <f t="shared" si="14"/>
        <v>296402.54000000004</v>
      </c>
    </row>
    <row r="57" spans="8:12" ht="14.25" customHeight="1">
      <c r="H57" s="94">
        <f t="shared" si="15"/>
        <v>46187</v>
      </c>
      <c r="I57" s="95">
        <f t="shared" si="16"/>
        <v>349285.71428571426</v>
      </c>
      <c r="J57" s="95">
        <f t="shared" si="17"/>
        <v>296402.54000000004</v>
      </c>
      <c r="K57" s="95" t="str">
        <f t="shared" si="18"/>
        <v/>
      </c>
      <c r="L57" s="95">
        <f t="shared" si="14"/>
        <v>296402.54000000004</v>
      </c>
    </row>
    <row r="58" spans="8:12" ht="14.25" customHeight="1">
      <c r="H58" s="94">
        <f t="shared" si="15"/>
        <v>46188</v>
      </c>
      <c r="I58" s="95">
        <f t="shared" si="16"/>
        <v>388095.23809523811</v>
      </c>
      <c r="J58" s="95">
        <f t="shared" si="17"/>
        <v>308750.75000000006</v>
      </c>
      <c r="K58" s="95" t="str">
        <f t="shared" si="18"/>
        <v/>
      </c>
      <c r="L58" s="95">
        <f t="shared" si="14"/>
        <v>308750.75000000006</v>
      </c>
    </row>
    <row r="59" spans="8:12" ht="14.25" customHeight="1">
      <c r="H59" s="94">
        <f t="shared" si="15"/>
        <v>46189</v>
      </c>
      <c r="I59" s="95">
        <f t="shared" si="16"/>
        <v>426904.76190476189</v>
      </c>
      <c r="J59" s="95">
        <f t="shared" si="17"/>
        <v>377967.88000000006</v>
      </c>
      <c r="K59" s="95" t="str">
        <f t="shared" si="18"/>
        <v/>
      </c>
      <c r="L59" s="95">
        <f t="shared" si="14"/>
        <v>377967.88000000006</v>
      </c>
    </row>
    <row r="60" spans="8:12" ht="14.25" customHeight="1">
      <c r="H60" s="94">
        <f t="shared" si="15"/>
        <v>46190</v>
      </c>
      <c r="I60" s="95">
        <f t="shared" si="16"/>
        <v>465714.28571428568</v>
      </c>
      <c r="J60" s="95">
        <f t="shared" si="17"/>
        <v>412929.07000000007</v>
      </c>
      <c r="K60" s="95" t="str">
        <f t="shared" si="18"/>
        <v/>
      </c>
      <c r="L60" s="95">
        <f t="shared" si="14"/>
        <v>412929.07000000007</v>
      </c>
    </row>
    <row r="61" spans="8:12" ht="14.25" customHeight="1">
      <c r="H61" s="94">
        <f t="shared" si="15"/>
        <v>46191</v>
      </c>
      <c r="I61" s="95">
        <f t="shared" si="16"/>
        <v>504523.80952380953</v>
      </c>
      <c r="J61" s="95">
        <f t="shared" si="17"/>
        <v>483266.01000000007</v>
      </c>
      <c r="K61" s="95" t="str">
        <f t="shared" si="18"/>
        <v/>
      </c>
      <c r="L61" s="95">
        <f t="shared" si="14"/>
        <v>483266.01000000007</v>
      </c>
    </row>
    <row r="62" spans="8:12" ht="14.25" customHeight="1">
      <c r="H62" s="94">
        <f t="shared" si="15"/>
        <v>46192</v>
      </c>
      <c r="I62" s="95">
        <f t="shared" si="16"/>
        <v>543333.33333333337</v>
      </c>
      <c r="J62" s="95">
        <f t="shared" si="17"/>
        <v>550966.04</v>
      </c>
      <c r="K62" s="95">
        <f t="shared" si="18"/>
        <v>550966.04</v>
      </c>
      <c r="L62" s="95" t="str">
        <f t="shared" si="14"/>
        <v/>
      </c>
    </row>
    <row r="63" spans="8:12" ht="14.25" customHeight="1">
      <c r="H63" s="94">
        <f t="shared" si="15"/>
        <v>46193</v>
      </c>
      <c r="I63" s="95">
        <f t="shared" si="16"/>
        <v>543333.33333333337</v>
      </c>
      <c r="J63" s="95">
        <f t="shared" si="17"/>
        <v>550966.04</v>
      </c>
      <c r="K63" s="95">
        <f t="shared" si="18"/>
        <v>550966.04</v>
      </c>
      <c r="L63" s="95" t="str">
        <f t="shared" si="14"/>
        <v/>
      </c>
    </row>
    <row r="64" spans="8:12" ht="14.25" customHeight="1">
      <c r="H64" s="94">
        <f t="shared" si="15"/>
        <v>46194</v>
      </c>
      <c r="I64" s="95">
        <f t="shared" si="16"/>
        <v>543333.33333333337</v>
      </c>
      <c r="J64" s="95">
        <f t="shared" si="17"/>
        <v>550966.04</v>
      </c>
      <c r="K64" s="95">
        <f t="shared" si="18"/>
        <v>550966.04</v>
      </c>
      <c r="L64" s="95" t="str">
        <f t="shared" si="14"/>
        <v/>
      </c>
    </row>
    <row r="65" spans="8:12" ht="14.25" customHeight="1">
      <c r="H65" s="94">
        <f t="shared" si="15"/>
        <v>46195</v>
      </c>
      <c r="I65" s="95">
        <f t="shared" si="16"/>
        <v>582142.85714285716</v>
      </c>
      <c r="J65" s="95">
        <f t="shared" si="17"/>
        <v>574010.52</v>
      </c>
      <c r="K65" s="95" t="str">
        <f t="shared" si="18"/>
        <v/>
      </c>
      <c r="L65" s="95">
        <f t="shared" si="14"/>
        <v>574010.52</v>
      </c>
    </row>
    <row r="66" spans="8:12" ht="14.25" customHeight="1">
      <c r="H66" s="94">
        <f t="shared" si="15"/>
        <v>46196</v>
      </c>
      <c r="I66" s="95">
        <f t="shared" si="16"/>
        <v>620952.38095238095</v>
      </c>
      <c r="J66" s="95">
        <f t="shared" si="17"/>
        <v>610924.4</v>
      </c>
      <c r="K66" s="95" t="str">
        <f t="shared" si="18"/>
        <v/>
      </c>
      <c r="L66" s="95">
        <f t="shared" si="14"/>
        <v>610924.4</v>
      </c>
    </row>
    <row r="67" spans="8:12" ht="14.25" customHeight="1">
      <c r="H67" s="94">
        <f t="shared" si="15"/>
        <v>46197</v>
      </c>
      <c r="I67" s="95">
        <f t="shared" si="16"/>
        <v>659761.90476190473</v>
      </c>
      <c r="J67" s="95">
        <f t="shared" si="17"/>
        <v>616112.71000000008</v>
      </c>
      <c r="K67" s="95" t="str">
        <f t="shared" si="18"/>
        <v/>
      </c>
      <c r="L67" s="95">
        <f t="shared" si="14"/>
        <v>616112.71000000008</v>
      </c>
    </row>
    <row r="68" spans="8:12" ht="14.25" customHeight="1">
      <c r="H68" s="94">
        <f t="shared" si="15"/>
        <v>46198</v>
      </c>
      <c r="I68" s="95">
        <f t="shared" si="16"/>
        <v>698571.42857142852</v>
      </c>
      <c r="J68" s="95">
        <f t="shared" si="17"/>
        <v>636931.44000000006</v>
      </c>
      <c r="K68" s="95" t="str">
        <f t="shared" si="18"/>
        <v/>
      </c>
      <c r="L68" s="95">
        <f t="shared" si="14"/>
        <v>636931.44000000006</v>
      </c>
    </row>
    <row r="69" spans="8:12" ht="14.25" customHeight="1">
      <c r="H69" s="94">
        <f t="shared" si="15"/>
        <v>46199</v>
      </c>
      <c r="I69" s="95">
        <f t="shared" si="16"/>
        <v>737380.95238095243</v>
      </c>
      <c r="J69" s="95">
        <f t="shared" si="17"/>
        <v>662104.04</v>
      </c>
      <c r="K69" s="95" t="str">
        <f t="shared" si="18"/>
        <v/>
      </c>
      <c r="L69" s="95">
        <f t="shared" si="14"/>
        <v>662104.04</v>
      </c>
    </row>
    <row r="70" spans="8:12" ht="14.25" customHeight="1">
      <c r="H70" s="94">
        <f t="shared" si="15"/>
        <v>46200</v>
      </c>
      <c r="I70" s="95">
        <f t="shared" si="16"/>
        <v>737380.95238095243</v>
      </c>
      <c r="J70" s="95">
        <f t="shared" si="17"/>
        <v>662104.04</v>
      </c>
      <c r="K70" s="95" t="str">
        <f t="shared" si="18"/>
        <v/>
      </c>
      <c r="L70" s="95">
        <f t="shared" si="14"/>
        <v>662104.04</v>
      </c>
    </row>
    <row r="71" spans="8:12" ht="14.25" customHeight="1">
      <c r="H71" s="94">
        <f t="shared" si="15"/>
        <v>46201</v>
      </c>
      <c r="I71" s="95">
        <f t="shared" si="16"/>
        <v>737380.95238095243</v>
      </c>
      <c r="J71" s="95">
        <f t="shared" si="17"/>
        <v>662104.04</v>
      </c>
      <c r="K71" s="95" t="str">
        <f t="shared" si="18"/>
        <v/>
      </c>
      <c r="L71" s="95">
        <f t="shared" si="14"/>
        <v>662104.04</v>
      </c>
    </row>
    <row r="72" spans="8:12" ht="14.25" customHeight="1">
      <c r="H72" s="94">
        <f t="shared" si="15"/>
        <v>46202</v>
      </c>
      <c r="I72" s="95">
        <f t="shared" si="16"/>
        <v>776190.47619047621</v>
      </c>
      <c r="J72" s="95">
        <f t="shared" si="17"/>
        <v>668101.18000000005</v>
      </c>
      <c r="K72" s="95" t="str">
        <f t="shared" si="18"/>
        <v/>
      </c>
      <c r="L72" s="95">
        <f t="shared" si="14"/>
        <v>668101.18000000005</v>
      </c>
    </row>
    <row r="73" spans="8:12" ht="14.25" customHeight="1">
      <c r="H73" s="94">
        <f t="shared" si="15"/>
        <v>46203</v>
      </c>
      <c r="I73" s="95">
        <f t="shared" si="16"/>
        <v>815000</v>
      </c>
      <c r="J73" s="95">
        <f t="shared" si="17"/>
        <v>731809.49</v>
      </c>
      <c r="K73" s="95" t="str">
        <f t="shared" si="18"/>
        <v/>
      </c>
      <c r="L73" s="95">
        <f t="shared" si="14"/>
        <v>731809.49</v>
      </c>
    </row>
    <row r="74" spans="8:12" ht="14.25" customHeight="1">
      <c r="H74" s="94">
        <f>B40</f>
        <v>46204</v>
      </c>
      <c r="I74" s="95">
        <f>G40</f>
        <v>853809.52380952379</v>
      </c>
      <c r="J74" s="95">
        <f>U40</f>
        <v>731809.49</v>
      </c>
      <c r="K74" s="95" t="str">
        <f>IF(I74&gt;J74,"",J74)</f>
        <v/>
      </c>
      <c r="L74" s="95">
        <f t="shared" si="14"/>
        <v>731809.49</v>
      </c>
    </row>
  </sheetData>
  <mergeCells count="16">
    <mergeCell ref="V7:V9"/>
    <mergeCell ref="B2:X2"/>
    <mergeCell ref="B3:X3"/>
    <mergeCell ref="B6:B9"/>
    <mergeCell ref="C6:C9"/>
    <mergeCell ref="G6:G9"/>
    <mergeCell ref="H6:J6"/>
    <mergeCell ref="K6:V6"/>
    <mergeCell ref="W6:W9"/>
    <mergeCell ref="X6:X9"/>
    <mergeCell ref="H7:H9"/>
    <mergeCell ref="I7:I9"/>
    <mergeCell ref="J7:J9"/>
    <mergeCell ref="K7:K9"/>
    <mergeCell ref="T7:T9"/>
    <mergeCell ref="U7:U9"/>
  </mergeCells>
  <conditionalFormatting sqref="C10:C40">
    <cfRule type="cellIs" dxfId="3" priority="1" operator="equal">
      <formula>"dom"</formula>
    </cfRule>
    <cfRule type="cellIs" dxfId="2" priority="2" operator="equal">
      <formula>"sáb"</formula>
    </cfRule>
  </conditionalFormatting>
  <pageMargins left="0.19685039370078741" right="0.19685039370078741" top="0.19685039370078741" bottom="0.19685039370078741" header="0" footer="0"/>
  <pageSetup paperSize="9" scale="55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A30A-B6C6-4E7A-AB47-CC2102D43400}">
  <sheetPr>
    <pageSetUpPr fitToPage="1"/>
  </sheetPr>
  <dimension ref="B1:AG74"/>
  <sheetViews>
    <sheetView showGridLines="0" tabSelected="1" zoomScale="70" zoomScaleNormal="70" workbookViewId="0">
      <pane xSplit="7" ySplit="9" topLeftCell="J10" activePane="bottomRight" state="frozen"/>
      <selection pane="bottomRight" activeCell="X13" sqref="X13"/>
      <selection pane="bottomLeft"/>
      <selection pane="topRight"/>
    </sheetView>
  </sheetViews>
  <sheetFormatPr defaultColWidth="15.5703125" defaultRowHeight="14.25" customHeight="1"/>
  <cols>
    <col min="1" max="1" width="1.140625" style="3" customWidth="1"/>
    <col min="2" max="3" width="10.5703125" style="3" customWidth="1"/>
    <col min="4" max="6" width="11.85546875" style="3" hidden="1" customWidth="1"/>
    <col min="7" max="7" width="16.5703125" style="3" customWidth="1"/>
    <col min="8" max="9" width="15.5703125" style="3" customWidth="1"/>
    <col min="10" max="10" width="15.42578125" style="3" customWidth="1"/>
    <col min="11" max="11" width="14.28515625" style="3" customWidth="1"/>
    <col min="12" max="19" width="16.5703125" style="3" customWidth="1"/>
    <col min="20" max="21" width="15.85546875" style="1" customWidth="1"/>
    <col min="22" max="22" width="11.5703125" style="1" customWidth="1"/>
    <col min="23" max="23" width="15.85546875" style="3" customWidth="1"/>
    <col min="24" max="24" width="16.85546875" style="8" bestFit="1" customWidth="1"/>
    <col min="25" max="25" width="1.140625" style="3" customWidth="1"/>
    <col min="26" max="26" width="15.5703125" style="79"/>
    <col min="27" max="16384" width="15.5703125" style="3"/>
  </cols>
  <sheetData>
    <row r="1" spans="2:33" ht="6.95" customHeight="1"/>
    <row r="2" spans="2:33" s="1" customFormat="1" ht="26.25" customHeight="1">
      <c r="B2" s="100" t="s">
        <v>15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2"/>
      <c r="Z2" s="80"/>
    </row>
    <row r="3" spans="2:33" s="1" customFormat="1" ht="26.25" customHeight="1">
      <c r="B3" s="103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5"/>
      <c r="Z3" s="80"/>
    </row>
    <row r="4" spans="2:33" s="1" customFormat="1" ht="26.25" customHeight="1">
      <c r="B4" s="14"/>
      <c r="C4" s="82"/>
      <c r="D4" s="82"/>
      <c r="E4" s="82"/>
      <c r="F4" s="82"/>
      <c r="G4" s="83" t="s">
        <v>17</v>
      </c>
      <c r="H4" s="19">
        <v>815000</v>
      </c>
      <c r="L4" s="84"/>
      <c r="M4" s="84"/>
      <c r="N4" s="84"/>
      <c r="O4" s="84"/>
      <c r="P4" s="84"/>
      <c r="Q4" s="84"/>
      <c r="R4" s="84"/>
      <c r="S4" s="84"/>
      <c r="W4" s="84" t="s">
        <v>18</v>
      </c>
      <c r="X4" s="45">
        <v>23</v>
      </c>
      <c r="Z4" s="80"/>
      <c r="AB4" s="10"/>
      <c r="AC4" s="11"/>
      <c r="AD4" s="12"/>
      <c r="AE4" s="13"/>
      <c r="AF4" s="12"/>
      <c r="AG4" s="13"/>
    </row>
    <row r="5" spans="2:33" s="7" customFormat="1" ht="26.25" customHeight="1">
      <c r="B5" s="21"/>
      <c r="C5" s="22"/>
      <c r="D5" s="22"/>
      <c r="E5" s="22"/>
      <c r="F5" s="22"/>
      <c r="G5" s="23" t="s">
        <v>19</v>
      </c>
      <c r="H5" s="24">
        <f>IF(H4="","",H4/X4)</f>
        <v>35434.782608695656</v>
      </c>
      <c r="I5" s="22"/>
      <c r="J5" s="22"/>
      <c r="K5" s="22"/>
      <c r="L5" s="25"/>
      <c r="M5" s="25"/>
      <c r="N5" s="25"/>
      <c r="O5" s="25"/>
      <c r="P5" s="25"/>
      <c r="Q5" s="25"/>
      <c r="R5" s="25"/>
      <c r="S5" s="25"/>
      <c r="T5" s="22"/>
      <c r="U5" s="22"/>
      <c r="V5" s="22"/>
      <c r="W5" s="25" t="s">
        <v>20</v>
      </c>
      <c r="X5" s="46">
        <f>$B$10</f>
        <v>46204</v>
      </c>
      <c r="Z5" s="81"/>
    </row>
    <row r="6" spans="2:33" s="1" customFormat="1" ht="33.75" customHeight="1">
      <c r="B6" s="106" t="s">
        <v>21</v>
      </c>
      <c r="C6" s="108" t="s">
        <v>22</v>
      </c>
      <c r="D6" s="20" t="s">
        <v>22</v>
      </c>
      <c r="E6" s="20" t="s">
        <v>23</v>
      </c>
      <c r="F6" s="20" t="s">
        <v>24</v>
      </c>
      <c r="G6" s="108" t="s">
        <v>25</v>
      </c>
      <c r="H6" s="110" t="s">
        <v>4</v>
      </c>
      <c r="I6" s="110"/>
      <c r="J6" s="111"/>
      <c r="K6" s="112" t="s">
        <v>26</v>
      </c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4"/>
      <c r="W6" s="108" t="s">
        <v>27</v>
      </c>
      <c r="X6" s="115" t="s">
        <v>28</v>
      </c>
      <c r="Z6" s="80" t="s">
        <v>29</v>
      </c>
    </row>
    <row r="7" spans="2:33" s="1" customFormat="1" ht="17.25" customHeight="1">
      <c r="B7" s="106"/>
      <c r="C7" s="108"/>
      <c r="D7" s="9"/>
      <c r="E7" s="9"/>
      <c r="F7" s="9"/>
      <c r="G7" s="108"/>
      <c r="H7" s="117" t="s">
        <v>30</v>
      </c>
      <c r="I7" s="119" t="s">
        <v>31</v>
      </c>
      <c r="J7" s="98" t="s">
        <v>32</v>
      </c>
      <c r="K7" s="121" t="s">
        <v>33</v>
      </c>
      <c r="L7" s="35" t="s">
        <v>9</v>
      </c>
      <c r="M7" s="35" t="s">
        <v>34</v>
      </c>
      <c r="N7" s="35" t="s">
        <v>35</v>
      </c>
      <c r="O7" s="35" t="s">
        <v>36</v>
      </c>
      <c r="P7" s="35" t="s">
        <v>37</v>
      </c>
      <c r="Q7" s="35" t="s">
        <v>38</v>
      </c>
      <c r="R7" s="35" t="s">
        <v>49</v>
      </c>
      <c r="S7" s="96" t="s">
        <v>50</v>
      </c>
      <c r="T7" s="122" t="s">
        <v>39</v>
      </c>
      <c r="U7" s="125" t="s">
        <v>40</v>
      </c>
      <c r="V7" s="97" t="s">
        <v>32</v>
      </c>
      <c r="W7" s="108"/>
      <c r="X7" s="115"/>
      <c r="Z7" s="80"/>
    </row>
    <row r="8" spans="2:33" s="1" customFormat="1" ht="17.25" customHeight="1">
      <c r="B8" s="106"/>
      <c r="C8" s="108"/>
      <c r="D8" s="20"/>
      <c r="E8" s="20"/>
      <c r="F8" s="20"/>
      <c r="G8" s="108"/>
      <c r="H8" s="117"/>
      <c r="I8" s="119"/>
      <c r="J8" s="98"/>
      <c r="K8" s="119"/>
      <c r="L8" s="63">
        <v>180000</v>
      </c>
      <c r="M8" s="63">
        <v>475000</v>
      </c>
      <c r="N8" s="63">
        <v>40000</v>
      </c>
      <c r="O8" s="63">
        <v>30000</v>
      </c>
      <c r="P8" s="63">
        <v>50000</v>
      </c>
      <c r="Q8" s="63">
        <v>25000</v>
      </c>
      <c r="R8" s="63">
        <v>15000</v>
      </c>
      <c r="S8" s="63">
        <v>15000</v>
      </c>
      <c r="T8" s="123"/>
      <c r="U8" s="117"/>
      <c r="V8" s="98"/>
      <c r="W8" s="108"/>
      <c r="X8" s="115"/>
      <c r="Z8" s="80"/>
    </row>
    <row r="9" spans="2:33" s="1" customFormat="1" ht="17.25" customHeight="1">
      <c r="B9" s="107"/>
      <c r="C9" s="109"/>
      <c r="D9" s="20"/>
      <c r="E9" s="20"/>
      <c r="F9" s="20"/>
      <c r="G9" s="109"/>
      <c r="H9" s="118"/>
      <c r="I9" s="120"/>
      <c r="J9" s="99"/>
      <c r="K9" s="120"/>
      <c r="L9" s="38">
        <f t="shared" ref="L9:S9" si="0">IF(L8="","",SUM(L10:L40)/L8)</f>
        <v>5.6928444444444448E-2</v>
      </c>
      <c r="M9" s="38">
        <f t="shared" si="0"/>
        <v>8.5026673684210519E-2</v>
      </c>
      <c r="N9" s="38">
        <f t="shared" si="0"/>
        <v>0</v>
      </c>
      <c r="O9" s="38">
        <f t="shared" si="0"/>
        <v>0</v>
      </c>
      <c r="P9" s="38">
        <f t="shared" si="0"/>
        <v>0</v>
      </c>
      <c r="Q9" s="38">
        <f>IF(Q8="","",SUM(Q10:Q40)/Q8)</f>
        <v>0</v>
      </c>
      <c r="R9" s="38">
        <f>IF(R8="","",SUM(R10:R40)/R8)</f>
        <v>0</v>
      </c>
      <c r="S9" s="38">
        <f t="shared" si="0"/>
        <v>0</v>
      </c>
      <c r="T9" s="124"/>
      <c r="U9" s="118"/>
      <c r="V9" s="99"/>
      <c r="W9" s="109"/>
      <c r="X9" s="116"/>
      <c r="Z9" s="80"/>
    </row>
    <row r="10" spans="2:33" ht="20.25" customHeight="1">
      <c r="B10" s="64">
        <v>46204</v>
      </c>
      <c r="C10" s="5" t="str">
        <f>TEXT(B10,"ddd")</f>
        <v>qua</v>
      </c>
      <c r="D10" s="5" cm="1">
        <f t="array" ref="D10:D39">WEEKDAY($B$10:$B$39,2)</f>
        <v>3</v>
      </c>
      <c r="E10" s="6">
        <f t="shared" ref="E10:E40" si="1">IF(D10&gt;5,0,1)</f>
        <v>1</v>
      </c>
      <c r="F10" s="2">
        <f>E10</f>
        <v>1</v>
      </c>
      <c r="G10" s="26">
        <f t="shared" ref="G10:G39" si="2">IF(F11&lt;1,"",$H$5*F10)</f>
        <v>35434.782608695656</v>
      </c>
      <c r="H10" s="65">
        <v>16316.69</v>
      </c>
      <c r="I10" s="39">
        <f>IF(SUM(H10)="","",SUM(H10))</f>
        <v>16316.69</v>
      </c>
      <c r="J10" s="34">
        <f t="shared" ref="J10:J40" si="3">IF(I10=0,"",(I10/G10))</f>
        <v>0.46047100613496927</v>
      </c>
      <c r="K10" s="89">
        <v>6</v>
      </c>
      <c r="L10" s="65">
        <v>0</v>
      </c>
      <c r="M10" s="65">
        <v>5782.28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33">
        <f>IF(SUM(L10:S10)=0,0,SUM(L10:S10))</f>
        <v>5782.28</v>
      </c>
      <c r="U10" s="39">
        <f>IF(SUM(T10)="","",SUM(T10))</f>
        <v>5782.28</v>
      </c>
      <c r="V10" s="34">
        <f>IF(U10=0,"",(U10/G10))</f>
        <v>0.16318090797546009</v>
      </c>
      <c r="W10" s="75">
        <f t="shared" ref="W10:W40" si="4">IF(K10="","",T10/K10)</f>
        <v>963.71333333333325</v>
      </c>
      <c r="X10" s="85">
        <v>62374.69</v>
      </c>
    </row>
    <row r="11" spans="2:33" ht="20.25" customHeight="1">
      <c r="B11" s="15">
        <f>B10+1</f>
        <v>46205</v>
      </c>
      <c r="C11" s="6" t="str">
        <f t="shared" ref="C11:C39" si="5">TEXT(B11,"ddd")</f>
        <v>qui</v>
      </c>
      <c r="D11" s="6">
        <v>4</v>
      </c>
      <c r="E11" s="6">
        <f t="shared" si="1"/>
        <v>1</v>
      </c>
      <c r="F11" s="4">
        <f>E11+F10</f>
        <v>2</v>
      </c>
      <c r="G11" s="27">
        <f t="shared" si="2"/>
        <v>70869.565217391311</v>
      </c>
      <c r="H11" s="65">
        <v>29956.95</v>
      </c>
      <c r="I11" s="39">
        <f t="shared" ref="I11:I40" si="6">IF(SUM(H11,I10)="","",SUM(H11,I10))</f>
        <v>46273.64</v>
      </c>
      <c r="J11" s="29">
        <f t="shared" si="3"/>
        <v>0.65294093251533736</v>
      </c>
      <c r="K11" s="90">
        <v>9</v>
      </c>
      <c r="L11" s="69">
        <v>7892.06</v>
      </c>
      <c r="M11" s="69">
        <v>10004.11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33">
        <f t="shared" ref="T11:T41" si="7">IF(SUM(L11:S11)=0,0,SUM(L11:S11))</f>
        <v>17896.170000000002</v>
      </c>
      <c r="U11" s="39">
        <f>IF(SUM(T11,U10)="","",SUM(T11,U10))</f>
        <v>23678.45</v>
      </c>
      <c r="V11" s="34">
        <f t="shared" ref="V11:V40" si="8">IF(U11=0,"",U11/G11)</f>
        <v>0.33411309815950918</v>
      </c>
      <c r="W11" s="76">
        <f t="shared" si="4"/>
        <v>1988.4633333333336</v>
      </c>
      <c r="X11" s="86">
        <v>52209.54</v>
      </c>
    </row>
    <row r="12" spans="2:33" ht="20.25" customHeight="1">
      <c r="B12" s="15">
        <f t="shared" ref="B12:B39" si="9">B11+1</f>
        <v>46206</v>
      </c>
      <c r="C12" s="6" t="str">
        <f>TEXT(B12,"ddd")</f>
        <v>sex</v>
      </c>
      <c r="D12" s="6">
        <v>5</v>
      </c>
      <c r="E12" s="6">
        <f t="shared" si="1"/>
        <v>1</v>
      </c>
      <c r="F12" s="4">
        <f t="shared" ref="F12:F13" si="10">E12+F11</f>
        <v>3</v>
      </c>
      <c r="G12" s="27">
        <f t="shared" si="2"/>
        <v>106304.34782608697</v>
      </c>
      <c r="H12" s="65">
        <v>20540.36</v>
      </c>
      <c r="I12" s="39">
        <f t="shared" si="6"/>
        <v>66814</v>
      </c>
      <c r="J12" s="29">
        <f t="shared" si="3"/>
        <v>0.62851615541922279</v>
      </c>
      <c r="K12" s="90">
        <v>11</v>
      </c>
      <c r="L12" s="69">
        <v>2355.06</v>
      </c>
      <c r="M12" s="69">
        <v>24601.279999999999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  <c r="T12" s="33">
        <f>IF(SUM(L12:S12)=0,0,SUM(L12:S12))</f>
        <v>26956.34</v>
      </c>
      <c r="U12" s="39">
        <f t="shared" ref="U12:U40" si="11">IF(SUM(T12,U11)="","",SUM(T12,U11))</f>
        <v>50634.79</v>
      </c>
      <c r="V12" s="34">
        <f t="shared" si="8"/>
        <v>0.47631908793456024</v>
      </c>
      <c r="W12" s="76">
        <f t="shared" si="4"/>
        <v>2450.5763636363636</v>
      </c>
      <c r="X12" s="86">
        <v>62636.42</v>
      </c>
    </row>
    <row r="13" spans="2:33" ht="20.25" customHeight="1">
      <c r="B13" s="15">
        <f t="shared" si="9"/>
        <v>46207</v>
      </c>
      <c r="C13" s="6" t="str">
        <f t="shared" si="5"/>
        <v>sáb</v>
      </c>
      <c r="D13" s="6">
        <v>6</v>
      </c>
      <c r="E13" s="6">
        <v>0</v>
      </c>
      <c r="F13" s="4">
        <f t="shared" si="10"/>
        <v>3</v>
      </c>
      <c r="G13" s="27">
        <f t="shared" si="2"/>
        <v>106304.34782608697</v>
      </c>
      <c r="H13" s="65"/>
      <c r="I13" s="39">
        <f t="shared" si="6"/>
        <v>66814</v>
      </c>
      <c r="J13" s="29">
        <f t="shared" si="3"/>
        <v>0.62851615541922279</v>
      </c>
      <c r="K13" s="90"/>
      <c r="L13" s="69"/>
      <c r="M13" s="69"/>
      <c r="N13" s="69"/>
      <c r="O13" s="69"/>
      <c r="P13" s="69"/>
      <c r="Q13" s="69"/>
      <c r="R13" s="69"/>
      <c r="S13" s="69"/>
      <c r="T13" s="33">
        <f t="shared" si="7"/>
        <v>0</v>
      </c>
      <c r="U13" s="39">
        <f t="shared" si="11"/>
        <v>50634.79</v>
      </c>
      <c r="V13" s="34">
        <f t="shared" si="8"/>
        <v>0.47631908793456024</v>
      </c>
      <c r="W13" s="76" t="str">
        <f t="shared" si="4"/>
        <v/>
      </c>
      <c r="X13" s="86"/>
    </row>
    <row r="14" spans="2:33" ht="20.25" customHeight="1">
      <c r="B14" s="15">
        <f>B13+1</f>
        <v>46208</v>
      </c>
      <c r="C14" s="6" t="str">
        <f>TEXT(B14,"ddd")</f>
        <v>dom</v>
      </c>
      <c r="D14" s="6">
        <v>7</v>
      </c>
      <c r="E14" s="6">
        <f t="shared" si="1"/>
        <v>0</v>
      </c>
      <c r="F14" s="4">
        <f>F13+E14</f>
        <v>3</v>
      </c>
      <c r="G14" s="27">
        <f t="shared" si="2"/>
        <v>106304.34782608697</v>
      </c>
      <c r="H14" s="65"/>
      <c r="I14" s="39">
        <f t="shared" si="6"/>
        <v>66814</v>
      </c>
      <c r="J14" s="29">
        <f t="shared" si="3"/>
        <v>0.62851615541922279</v>
      </c>
      <c r="K14" s="90"/>
      <c r="L14" s="69"/>
      <c r="M14" s="69"/>
      <c r="N14" s="69"/>
      <c r="O14" s="69"/>
      <c r="P14" s="69"/>
      <c r="Q14" s="69"/>
      <c r="R14" s="69"/>
      <c r="S14" s="69"/>
      <c r="T14" s="33">
        <f>IF(SUM(L14:S14)=0,0,SUM(L14:S14))</f>
        <v>0</v>
      </c>
      <c r="U14" s="39">
        <f>IF(SUM(T14,U13)="","",SUM(T14,U13))</f>
        <v>50634.79</v>
      </c>
      <c r="V14" s="34">
        <f t="shared" si="8"/>
        <v>0.47631908793456024</v>
      </c>
      <c r="W14" s="76" t="str">
        <f t="shared" si="4"/>
        <v/>
      </c>
      <c r="X14" s="86"/>
    </row>
    <row r="15" spans="2:33" ht="20.25" customHeight="1">
      <c r="B15" s="15">
        <f>B14+1</f>
        <v>46209</v>
      </c>
      <c r="C15" s="6" t="str">
        <f t="shared" si="5"/>
        <v>seg</v>
      </c>
      <c r="D15" s="6">
        <v>1</v>
      </c>
      <c r="E15" s="6">
        <f t="shared" si="1"/>
        <v>1</v>
      </c>
      <c r="F15" s="4">
        <f>F14+E15</f>
        <v>4</v>
      </c>
      <c r="G15" s="27">
        <f t="shared" si="2"/>
        <v>141739.13043478262</v>
      </c>
      <c r="H15" s="65"/>
      <c r="I15" s="39">
        <f t="shared" si="6"/>
        <v>66814</v>
      </c>
      <c r="J15" s="29">
        <f t="shared" si="3"/>
        <v>0.47138711656441712</v>
      </c>
      <c r="K15" s="90"/>
      <c r="L15" s="69"/>
      <c r="M15" s="69"/>
      <c r="N15" s="69"/>
      <c r="O15" s="69"/>
      <c r="P15" s="69"/>
      <c r="Q15" s="69"/>
      <c r="R15" s="69"/>
      <c r="S15" s="69"/>
      <c r="T15" s="33">
        <f>IF(SUM(L15:S15)=0,0,SUM(L15:S15))</f>
        <v>0</v>
      </c>
      <c r="U15" s="39">
        <f>IF(SUM(T15,U14)="","",SUM(T15,U14))</f>
        <v>50634.79</v>
      </c>
      <c r="V15" s="34">
        <f t="shared" si="8"/>
        <v>0.35723931595092023</v>
      </c>
      <c r="W15" s="76" t="str">
        <f t="shared" si="4"/>
        <v/>
      </c>
      <c r="X15" s="86"/>
    </row>
    <row r="16" spans="2:33" ht="20.25" customHeight="1">
      <c r="B16" s="15">
        <f t="shared" si="9"/>
        <v>46210</v>
      </c>
      <c r="C16" s="6" t="str">
        <f t="shared" si="5"/>
        <v>ter</v>
      </c>
      <c r="D16" s="6">
        <v>2</v>
      </c>
      <c r="E16" s="6">
        <f t="shared" si="1"/>
        <v>1</v>
      </c>
      <c r="F16" s="4">
        <f t="shared" ref="F16:F20" si="12">F15+E16</f>
        <v>5</v>
      </c>
      <c r="G16" s="27">
        <f t="shared" si="2"/>
        <v>177173.91304347827</v>
      </c>
      <c r="H16" s="65"/>
      <c r="I16" s="39">
        <f t="shared" si="6"/>
        <v>66814</v>
      </c>
      <c r="J16" s="29">
        <f t="shared" si="3"/>
        <v>0.37710969325153371</v>
      </c>
      <c r="K16" s="90"/>
      <c r="L16" s="69"/>
      <c r="M16" s="69"/>
      <c r="N16" s="69"/>
      <c r="O16" s="69"/>
      <c r="P16" s="69"/>
      <c r="Q16" s="69"/>
      <c r="R16" s="69"/>
      <c r="S16" s="69"/>
      <c r="T16" s="33">
        <f>IF(SUM(L16:S16)=0,0,SUM(L16:S16))</f>
        <v>0</v>
      </c>
      <c r="U16" s="39">
        <f t="shared" si="11"/>
        <v>50634.79</v>
      </c>
      <c r="V16" s="34">
        <f t="shared" si="8"/>
        <v>0.2857914527607362</v>
      </c>
      <c r="W16" s="76" t="str">
        <f t="shared" si="4"/>
        <v/>
      </c>
      <c r="X16" s="86"/>
    </row>
    <row r="17" spans="2:24" ht="20.25" customHeight="1">
      <c r="B17" s="15">
        <f t="shared" si="9"/>
        <v>46211</v>
      </c>
      <c r="C17" s="6" t="str">
        <f t="shared" si="5"/>
        <v>qua</v>
      </c>
      <c r="D17" s="6">
        <v>3</v>
      </c>
      <c r="E17" s="6">
        <f t="shared" si="1"/>
        <v>1</v>
      </c>
      <c r="F17" s="4">
        <f t="shared" si="12"/>
        <v>6</v>
      </c>
      <c r="G17" s="27">
        <f t="shared" si="2"/>
        <v>212608.69565217395</v>
      </c>
      <c r="H17" s="65"/>
      <c r="I17" s="39">
        <f t="shared" si="6"/>
        <v>66814</v>
      </c>
      <c r="J17" s="29">
        <f t="shared" si="3"/>
        <v>0.31425807770961139</v>
      </c>
      <c r="K17" s="90"/>
      <c r="L17" s="69"/>
      <c r="M17" s="69"/>
      <c r="N17" s="69"/>
      <c r="O17" s="69"/>
      <c r="P17" s="69"/>
      <c r="Q17" s="69"/>
      <c r="R17" s="69"/>
      <c r="S17" s="69"/>
      <c r="T17" s="33">
        <f t="shared" si="7"/>
        <v>0</v>
      </c>
      <c r="U17" s="39">
        <f t="shared" si="11"/>
        <v>50634.79</v>
      </c>
      <c r="V17" s="34">
        <f t="shared" si="8"/>
        <v>0.23815954396728012</v>
      </c>
      <c r="W17" s="76" t="str">
        <f t="shared" si="4"/>
        <v/>
      </c>
      <c r="X17" s="86"/>
    </row>
    <row r="18" spans="2:24" ht="20.25" customHeight="1">
      <c r="B18" s="15">
        <f t="shared" si="9"/>
        <v>46212</v>
      </c>
      <c r="C18" s="6" t="str">
        <f t="shared" si="5"/>
        <v>qui</v>
      </c>
      <c r="D18" s="6">
        <v>4</v>
      </c>
      <c r="E18" s="6">
        <f t="shared" si="1"/>
        <v>1</v>
      </c>
      <c r="F18" s="4">
        <f t="shared" si="12"/>
        <v>7</v>
      </c>
      <c r="G18" s="27">
        <f t="shared" si="2"/>
        <v>248043.4782608696</v>
      </c>
      <c r="H18" s="65"/>
      <c r="I18" s="39">
        <f t="shared" si="6"/>
        <v>66814</v>
      </c>
      <c r="J18" s="29">
        <f t="shared" si="3"/>
        <v>0.26936406660823836</v>
      </c>
      <c r="K18" s="90"/>
      <c r="L18" s="69"/>
      <c r="M18" s="69"/>
      <c r="N18" s="69"/>
      <c r="O18" s="69"/>
      <c r="P18" s="69"/>
      <c r="Q18" s="69"/>
      <c r="R18" s="69"/>
      <c r="S18" s="69"/>
      <c r="T18" s="33">
        <f>IF(SUM(L18:S18)=0,0,SUM(L18:S18))</f>
        <v>0</v>
      </c>
      <c r="U18" s="39">
        <f>IF(SUM(T18,U17)="","",SUM(T18,U17))</f>
        <v>50634.79</v>
      </c>
      <c r="V18" s="34">
        <f t="shared" si="8"/>
        <v>0.20413675197195441</v>
      </c>
      <c r="W18" s="76" t="str">
        <f t="shared" si="4"/>
        <v/>
      </c>
      <c r="X18" s="86"/>
    </row>
    <row r="19" spans="2:24" ht="20.25" customHeight="1">
      <c r="B19" s="15">
        <f t="shared" si="9"/>
        <v>46213</v>
      </c>
      <c r="C19" s="6" t="str">
        <f t="shared" si="5"/>
        <v>sex</v>
      </c>
      <c r="D19" s="6">
        <v>5</v>
      </c>
      <c r="E19" s="6">
        <f t="shared" si="1"/>
        <v>1</v>
      </c>
      <c r="F19" s="4">
        <f t="shared" si="12"/>
        <v>8</v>
      </c>
      <c r="G19" s="27">
        <f t="shared" si="2"/>
        <v>283478.26086956525</v>
      </c>
      <c r="H19" s="65"/>
      <c r="I19" s="39">
        <f t="shared" si="6"/>
        <v>66814</v>
      </c>
      <c r="J19" s="29">
        <f t="shared" si="3"/>
        <v>0.23569355828220856</v>
      </c>
      <c r="K19" s="90"/>
      <c r="L19" s="69"/>
      <c r="M19" s="69"/>
      <c r="N19" s="69"/>
      <c r="O19" s="88"/>
      <c r="P19" s="69"/>
      <c r="Q19" s="69"/>
      <c r="R19" s="69"/>
      <c r="S19" s="69"/>
      <c r="T19" s="33">
        <f>IF(SUM(L19:S19)=0,0,SUM(L19:S19))</f>
        <v>0</v>
      </c>
      <c r="U19" s="39">
        <f>IF(SUM(T19,U18)="","",SUM(T19,U18))</f>
        <v>50634.79</v>
      </c>
      <c r="V19" s="34">
        <f t="shared" si="8"/>
        <v>0.17861965797546012</v>
      </c>
      <c r="W19" s="76" t="str">
        <f t="shared" si="4"/>
        <v/>
      </c>
      <c r="X19" s="86"/>
    </row>
    <row r="20" spans="2:24" ht="20.25" customHeight="1">
      <c r="B20" s="15">
        <f t="shared" si="9"/>
        <v>46214</v>
      </c>
      <c r="C20" s="6" t="str">
        <f t="shared" si="5"/>
        <v>sáb</v>
      </c>
      <c r="D20" s="6">
        <v>6</v>
      </c>
      <c r="E20" s="6">
        <f t="shared" si="1"/>
        <v>0</v>
      </c>
      <c r="F20" s="4">
        <f t="shared" si="12"/>
        <v>8</v>
      </c>
      <c r="G20" s="27">
        <f t="shared" si="2"/>
        <v>283478.26086956525</v>
      </c>
      <c r="H20" s="65"/>
      <c r="I20" s="39">
        <f t="shared" si="6"/>
        <v>66814</v>
      </c>
      <c r="J20" s="29">
        <f t="shared" si="3"/>
        <v>0.23569355828220856</v>
      </c>
      <c r="K20" s="91"/>
      <c r="L20" s="69"/>
      <c r="M20" s="69"/>
      <c r="N20" s="71"/>
      <c r="O20" s="71"/>
      <c r="P20" s="71"/>
      <c r="Q20" s="71"/>
      <c r="R20" s="71"/>
      <c r="S20" s="71"/>
      <c r="T20" s="33">
        <f t="shared" si="7"/>
        <v>0</v>
      </c>
      <c r="U20" s="39">
        <f t="shared" si="11"/>
        <v>50634.79</v>
      </c>
      <c r="V20" s="34">
        <f t="shared" si="8"/>
        <v>0.17861965797546012</v>
      </c>
      <c r="W20" s="76" t="str">
        <f t="shared" si="4"/>
        <v/>
      </c>
      <c r="X20" s="86"/>
    </row>
    <row r="21" spans="2:24" ht="20.25" customHeight="1">
      <c r="B21" s="15">
        <f t="shared" si="9"/>
        <v>46215</v>
      </c>
      <c r="C21" s="6" t="str">
        <f t="shared" si="5"/>
        <v>dom</v>
      </c>
      <c r="D21" s="6">
        <v>7</v>
      </c>
      <c r="E21" s="6">
        <f t="shared" si="1"/>
        <v>0</v>
      </c>
      <c r="F21" s="4">
        <f t="shared" ref="F21:F39" si="13">E21+F20</f>
        <v>8</v>
      </c>
      <c r="G21" s="27">
        <f t="shared" si="2"/>
        <v>283478.26086956525</v>
      </c>
      <c r="H21" s="65"/>
      <c r="I21" s="39">
        <f t="shared" si="6"/>
        <v>66814</v>
      </c>
      <c r="J21" s="29">
        <f t="shared" si="3"/>
        <v>0.23569355828220856</v>
      </c>
      <c r="K21" s="91"/>
      <c r="L21" s="71"/>
      <c r="M21" s="71"/>
      <c r="N21" s="71"/>
      <c r="O21" s="71"/>
      <c r="P21" s="71"/>
      <c r="Q21" s="71"/>
      <c r="R21" s="71"/>
      <c r="S21" s="71"/>
      <c r="T21" s="33">
        <f t="shared" si="7"/>
        <v>0</v>
      </c>
      <c r="U21" s="39">
        <f t="shared" si="11"/>
        <v>50634.79</v>
      </c>
      <c r="V21" s="34">
        <f t="shared" si="8"/>
        <v>0.17861965797546012</v>
      </c>
      <c r="W21" s="76" t="str">
        <f t="shared" si="4"/>
        <v/>
      </c>
      <c r="X21" s="86"/>
    </row>
    <row r="22" spans="2:24" ht="20.25" customHeight="1">
      <c r="B22" s="15">
        <f t="shared" si="9"/>
        <v>46216</v>
      </c>
      <c r="C22" s="6" t="str">
        <f t="shared" si="5"/>
        <v>seg</v>
      </c>
      <c r="D22" s="6">
        <v>1</v>
      </c>
      <c r="E22" s="6">
        <f t="shared" si="1"/>
        <v>1</v>
      </c>
      <c r="F22" s="4">
        <f t="shared" si="13"/>
        <v>9</v>
      </c>
      <c r="G22" s="27">
        <f t="shared" si="2"/>
        <v>318913.04347826092</v>
      </c>
      <c r="H22" s="65"/>
      <c r="I22" s="39">
        <f t="shared" si="6"/>
        <v>66814</v>
      </c>
      <c r="J22" s="29">
        <f t="shared" si="3"/>
        <v>0.20950538513974093</v>
      </c>
      <c r="K22" s="91"/>
      <c r="L22" s="71"/>
      <c r="M22" s="71"/>
      <c r="N22" s="71"/>
      <c r="O22" s="71"/>
      <c r="P22" s="71"/>
      <c r="Q22" s="71"/>
      <c r="R22" s="71"/>
      <c r="S22" s="71"/>
      <c r="T22" s="33"/>
      <c r="U22" s="39">
        <f t="shared" si="11"/>
        <v>50634.79</v>
      </c>
      <c r="V22" s="34">
        <f t="shared" si="8"/>
        <v>0.1587730293115201</v>
      </c>
      <c r="W22" s="76" t="str">
        <f t="shared" si="4"/>
        <v/>
      </c>
      <c r="X22" s="86"/>
    </row>
    <row r="23" spans="2:24" ht="20.25" customHeight="1">
      <c r="B23" s="15">
        <f t="shared" si="9"/>
        <v>46217</v>
      </c>
      <c r="C23" s="6" t="str">
        <f t="shared" si="5"/>
        <v>ter</v>
      </c>
      <c r="D23" s="6">
        <v>2</v>
      </c>
      <c r="E23" s="6">
        <f t="shared" si="1"/>
        <v>1</v>
      </c>
      <c r="F23" s="4">
        <f t="shared" si="13"/>
        <v>10</v>
      </c>
      <c r="G23" s="27">
        <f t="shared" si="2"/>
        <v>354347.82608695654</v>
      </c>
      <c r="H23" s="65"/>
      <c r="I23" s="39">
        <f t="shared" si="6"/>
        <v>66814</v>
      </c>
      <c r="J23" s="29">
        <f t="shared" si="3"/>
        <v>0.18855484662576685</v>
      </c>
      <c r="K23" s="91"/>
      <c r="L23" s="71"/>
      <c r="M23" s="71"/>
      <c r="N23" s="71"/>
      <c r="O23" s="71"/>
      <c r="P23" s="71"/>
      <c r="Q23" s="71"/>
      <c r="R23" s="71"/>
      <c r="S23" s="71"/>
      <c r="T23" s="33">
        <f t="shared" si="7"/>
        <v>0</v>
      </c>
      <c r="U23" s="39">
        <f t="shared" si="11"/>
        <v>50634.79</v>
      </c>
      <c r="V23" s="34">
        <f t="shared" si="8"/>
        <v>0.1428957263803681</v>
      </c>
      <c r="W23" s="76" t="str">
        <f t="shared" si="4"/>
        <v/>
      </c>
      <c r="X23" s="86"/>
    </row>
    <row r="24" spans="2:24" ht="20.25" customHeight="1">
      <c r="B24" s="15">
        <f>B23+1</f>
        <v>46218</v>
      </c>
      <c r="C24" s="6" t="str">
        <f t="shared" si="5"/>
        <v>qua</v>
      </c>
      <c r="D24" s="6">
        <v>3</v>
      </c>
      <c r="E24" s="6">
        <f t="shared" si="1"/>
        <v>1</v>
      </c>
      <c r="F24" s="4">
        <f>E24+F23</f>
        <v>11</v>
      </c>
      <c r="G24" s="27">
        <f t="shared" si="2"/>
        <v>389782.60869565222</v>
      </c>
      <c r="H24" s="65"/>
      <c r="I24" s="39">
        <f t="shared" si="6"/>
        <v>66814</v>
      </c>
      <c r="J24" s="29">
        <f t="shared" si="3"/>
        <v>0.17141349693251531</v>
      </c>
      <c r="K24" s="91"/>
      <c r="L24" s="71"/>
      <c r="M24" s="71"/>
      <c r="N24" s="71"/>
      <c r="O24" s="71"/>
      <c r="P24" s="71"/>
      <c r="Q24" s="71"/>
      <c r="R24" s="71"/>
      <c r="S24" s="71"/>
      <c r="T24" s="33">
        <f t="shared" si="7"/>
        <v>0</v>
      </c>
      <c r="U24" s="39">
        <f t="shared" si="11"/>
        <v>50634.79</v>
      </c>
      <c r="V24" s="34">
        <f t="shared" si="8"/>
        <v>0.12990520580033463</v>
      </c>
      <c r="W24" s="76" t="str">
        <f t="shared" si="4"/>
        <v/>
      </c>
      <c r="X24" s="86"/>
    </row>
    <row r="25" spans="2:24" ht="20.25" customHeight="1">
      <c r="B25" s="15">
        <f>B24+1</f>
        <v>46219</v>
      </c>
      <c r="C25" s="6" t="str">
        <f t="shared" si="5"/>
        <v>qui</v>
      </c>
      <c r="D25" s="6">
        <v>4</v>
      </c>
      <c r="E25" s="6">
        <f t="shared" si="1"/>
        <v>1</v>
      </c>
      <c r="F25" s="4">
        <f>E25+F24</f>
        <v>12</v>
      </c>
      <c r="G25" s="27">
        <f t="shared" si="2"/>
        <v>425217.3913043479</v>
      </c>
      <c r="H25" s="65"/>
      <c r="I25" s="39">
        <f t="shared" si="6"/>
        <v>66814</v>
      </c>
      <c r="J25" s="29">
        <f t="shared" si="3"/>
        <v>0.1571290388548057</v>
      </c>
      <c r="K25" s="91"/>
      <c r="L25" s="71"/>
      <c r="M25" s="71"/>
      <c r="N25" s="71"/>
      <c r="O25" s="71"/>
      <c r="P25" s="71"/>
      <c r="Q25" s="71"/>
      <c r="R25" s="71"/>
      <c r="S25" s="71"/>
      <c r="T25" s="33">
        <f>IF(SUM(L25:S25)=0,0,SUM(L25:S25))</f>
        <v>0</v>
      </c>
      <c r="U25" s="39">
        <f t="shared" si="11"/>
        <v>50634.79</v>
      </c>
      <c r="V25" s="34">
        <f t="shared" si="8"/>
        <v>0.11907977198364006</v>
      </c>
      <c r="W25" s="76" t="str">
        <f t="shared" si="4"/>
        <v/>
      </c>
      <c r="X25" s="86"/>
    </row>
    <row r="26" spans="2:24" ht="20.25" customHeight="1">
      <c r="B26" s="15">
        <f t="shared" si="9"/>
        <v>46220</v>
      </c>
      <c r="C26" s="6" t="str">
        <f t="shared" si="5"/>
        <v>sex</v>
      </c>
      <c r="D26" s="6">
        <v>5</v>
      </c>
      <c r="E26" s="6">
        <f t="shared" si="1"/>
        <v>1</v>
      </c>
      <c r="F26" s="4">
        <f>E26+F25</f>
        <v>13</v>
      </c>
      <c r="G26" s="27">
        <f t="shared" si="2"/>
        <v>460652.17391304352</v>
      </c>
      <c r="H26" s="65"/>
      <c r="I26" s="39">
        <f t="shared" si="6"/>
        <v>66814</v>
      </c>
      <c r="J26" s="29">
        <f t="shared" si="3"/>
        <v>0.14504218971212834</v>
      </c>
      <c r="K26" s="91"/>
      <c r="L26" s="71"/>
      <c r="M26" s="71"/>
      <c r="N26" s="71"/>
      <c r="O26" s="71"/>
      <c r="P26" s="71"/>
      <c r="Q26" s="71"/>
      <c r="R26" s="71"/>
      <c r="S26" s="71"/>
      <c r="T26" s="33">
        <f t="shared" si="7"/>
        <v>0</v>
      </c>
      <c r="U26" s="39">
        <f t="shared" si="11"/>
        <v>50634.79</v>
      </c>
      <c r="V26" s="34">
        <f t="shared" si="8"/>
        <v>0.10991978952336007</v>
      </c>
      <c r="W26" s="76" t="str">
        <f t="shared" si="4"/>
        <v/>
      </c>
      <c r="X26" s="86"/>
    </row>
    <row r="27" spans="2:24" ht="20.25" customHeight="1">
      <c r="B27" s="15">
        <f t="shared" si="9"/>
        <v>46221</v>
      </c>
      <c r="C27" s="6" t="str">
        <f t="shared" si="5"/>
        <v>sáb</v>
      </c>
      <c r="D27" s="6">
        <v>6</v>
      </c>
      <c r="E27" s="6">
        <f t="shared" si="1"/>
        <v>0</v>
      </c>
      <c r="F27" s="4">
        <f t="shared" si="13"/>
        <v>13</v>
      </c>
      <c r="G27" s="27">
        <f t="shared" si="2"/>
        <v>460652.17391304352</v>
      </c>
      <c r="H27" s="65"/>
      <c r="I27" s="39">
        <f t="shared" si="6"/>
        <v>66814</v>
      </c>
      <c r="J27" s="29">
        <f t="shared" si="3"/>
        <v>0.14504218971212834</v>
      </c>
      <c r="K27" s="91"/>
      <c r="L27" s="71"/>
      <c r="M27" s="71"/>
      <c r="N27" s="71"/>
      <c r="O27" s="71"/>
      <c r="P27" s="71"/>
      <c r="Q27" s="71"/>
      <c r="R27" s="71"/>
      <c r="S27" s="71"/>
      <c r="T27" s="33">
        <f t="shared" si="7"/>
        <v>0</v>
      </c>
      <c r="U27" s="39">
        <f t="shared" si="11"/>
        <v>50634.79</v>
      </c>
      <c r="V27" s="34">
        <f t="shared" si="8"/>
        <v>0.10991978952336007</v>
      </c>
      <c r="W27" s="76" t="str">
        <f t="shared" si="4"/>
        <v/>
      </c>
      <c r="X27" s="86"/>
    </row>
    <row r="28" spans="2:24" ht="20.25" customHeight="1">
      <c r="B28" s="15">
        <f t="shared" si="9"/>
        <v>46222</v>
      </c>
      <c r="C28" s="6" t="str">
        <f t="shared" si="5"/>
        <v>dom</v>
      </c>
      <c r="D28" s="6">
        <v>7</v>
      </c>
      <c r="E28" s="6">
        <f t="shared" si="1"/>
        <v>0</v>
      </c>
      <c r="F28" s="4">
        <f t="shared" si="13"/>
        <v>13</v>
      </c>
      <c r="G28" s="27">
        <f t="shared" si="2"/>
        <v>460652.17391304352</v>
      </c>
      <c r="H28" s="65"/>
      <c r="I28" s="39">
        <f t="shared" si="6"/>
        <v>66814</v>
      </c>
      <c r="J28" s="29">
        <f t="shared" si="3"/>
        <v>0.14504218971212834</v>
      </c>
      <c r="K28" s="91"/>
      <c r="L28" s="71"/>
      <c r="M28" s="71"/>
      <c r="N28" s="71"/>
      <c r="O28" s="71"/>
      <c r="P28" s="71"/>
      <c r="Q28" s="71"/>
      <c r="R28" s="71"/>
      <c r="S28" s="71"/>
      <c r="T28" s="33">
        <f t="shared" si="7"/>
        <v>0</v>
      </c>
      <c r="U28" s="39">
        <f t="shared" si="11"/>
        <v>50634.79</v>
      </c>
      <c r="V28" s="34">
        <f t="shared" si="8"/>
        <v>0.10991978952336007</v>
      </c>
      <c r="W28" s="76" t="str">
        <f t="shared" si="4"/>
        <v/>
      </c>
      <c r="X28" s="86"/>
    </row>
    <row r="29" spans="2:24" ht="20.25" customHeight="1">
      <c r="B29" s="15">
        <f t="shared" si="9"/>
        <v>46223</v>
      </c>
      <c r="C29" s="6" t="str">
        <f t="shared" si="5"/>
        <v>seg</v>
      </c>
      <c r="D29" s="6">
        <v>1</v>
      </c>
      <c r="E29" s="6">
        <f t="shared" si="1"/>
        <v>1</v>
      </c>
      <c r="F29" s="4">
        <f t="shared" si="13"/>
        <v>14</v>
      </c>
      <c r="G29" s="27">
        <f t="shared" si="2"/>
        <v>496086.95652173919</v>
      </c>
      <c r="H29" s="65"/>
      <c r="I29" s="39">
        <f t="shared" si="6"/>
        <v>66814</v>
      </c>
      <c r="J29" s="29">
        <f t="shared" si="3"/>
        <v>0.13468203330411918</v>
      </c>
      <c r="K29" s="91"/>
      <c r="L29" s="71"/>
      <c r="M29" s="71"/>
      <c r="N29" s="71"/>
      <c r="O29" s="71"/>
      <c r="P29" s="71"/>
      <c r="Q29" s="71"/>
      <c r="R29" s="71"/>
      <c r="S29" s="71"/>
      <c r="T29" s="33">
        <f t="shared" si="7"/>
        <v>0</v>
      </c>
      <c r="U29" s="39">
        <f t="shared" si="11"/>
        <v>50634.79</v>
      </c>
      <c r="V29" s="34">
        <f t="shared" si="8"/>
        <v>0.10206837598597721</v>
      </c>
      <c r="W29" s="76" t="str">
        <f t="shared" si="4"/>
        <v/>
      </c>
      <c r="X29" s="86"/>
    </row>
    <row r="30" spans="2:24" ht="20.25" customHeight="1">
      <c r="B30" s="15">
        <f t="shared" si="9"/>
        <v>46224</v>
      </c>
      <c r="C30" s="6" t="str">
        <f t="shared" si="5"/>
        <v>ter</v>
      </c>
      <c r="D30" s="6">
        <v>2</v>
      </c>
      <c r="E30" s="6">
        <f t="shared" si="1"/>
        <v>1</v>
      </c>
      <c r="F30" s="4">
        <f t="shared" si="13"/>
        <v>15</v>
      </c>
      <c r="G30" s="27">
        <f t="shared" si="2"/>
        <v>531521.73913043481</v>
      </c>
      <c r="H30" s="65"/>
      <c r="I30" s="39">
        <f t="shared" si="6"/>
        <v>66814</v>
      </c>
      <c r="J30" s="29">
        <f t="shared" si="3"/>
        <v>0.12570323108384457</v>
      </c>
      <c r="K30" s="91"/>
      <c r="L30" s="71"/>
      <c r="M30" s="71"/>
      <c r="N30" s="71"/>
      <c r="O30" s="71"/>
      <c r="P30" s="71"/>
      <c r="Q30" s="71"/>
      <c r="R30" s="71"/>
      <c r="S30" s="71"/>
      <c r="T30" s="33">
        <f t="shared" si="7"/>
        <v>0</v>
      </c>
      <c r="U30" s="39">
        <f t="shared" si="11"/>
        <v>50634.79</v>
      </c>
      <c r="V30" s="34">
        <f t="shared" si="8"/>
        <v>9.5263817586912061E-2</v>
      </c>
      <c r="W30" s="76" t="str">
        <f t="shared" si="4"/>
        <v/>
      </c>
      <c r="X30" s="86"/>
    </row>
    <row r="31" spans="2:24" ht="20.25" customHeight="1">
      <c r="B31" s="15">
        <f t="shared" si="9"/>
        <v>46225</v>
      </c>
      <c r="C31" s="6" t="str">
        <f t="shared" si="5"/>
        <v>qua</v>
      </c>
      <c r="D31" s="6">
        <v>3</v>
      </c>
      <c r="E31" s="6">
        <f t="shared" si="1"/>
        <v>1</v>
      </c>
      <c r="F31" s="4">
        <f t="shared" si="13"/>
        <v>16</v>
      </c>
      <c r="G31" s="27">
        <f t="shared" si="2"/>
        <v>566956.52173913049</v>
      </c>
      <c r="H31" s="65"/>
      <c r="I31" s="39">
        <f t="shared" si="6"/>
        <v>66814</v>
      </c>
      <c r="J31" s="29">
        <f t="shared" si="3"/>
        <v>0.11784677914110428</v>
      </c>
      <c r="K31" s="91"/>
      <c r="L31" s="71"/>
      <c r="M31" s="71"/>
      <c r="N31" s="71"/>
      <c r="O31" s="71"/>
      <c r="P31" s="71"/>
      <c r="Q31" s="71"/>
      <c r="R31" s="71"/>
      <c r="S31" s="71"/>
      <c r="T31" s="33">
        <f t="shared" si="7"/>
        <v>0</v>
      </c>
      <c r="U31" s="39">
        <f t="shared" si="11"/>
        <v>50634.79</v>
      </c>
      <c r="V31" s="34">
        <f t="shared" si="8"/>
        <v>8.9309828987730058E-2</v>
      </c>
      <c r="W31" s="76" t="str">
        <f t="shared" si="4"/>
        <v/>
      </c>
      <c r="X31" s="86"/>
    </row>
    <row r="32" spans="2:24" ht="20.25" customHeight="1">
      <c r="B32" s="15">
        <f>B31+1</f>
        <v>46226</v>
      </c>
      <c r="C32" s="6" t="str">
        <f t="shared" si="5"/>
        <v>qui</v>
      </c>
      <c r="D32" s="6">
        <v>4</v>
      </c>
      <c r="E32" s="6">
        <f t="shared" si="1"/>
        <v>1</v>
      </c>
      <c r="F32" s="4">
        <f>E32+F31</f>
        <v>17</v>
      </c>
      <c r="G32" s="27">
        <f t="shared" si="2"/>
        <v>602391.30434782617</v>
      </c>
      <c r="H32" s="65"/>
      <c r="I32" s="39">
        <f t="shared" si="6"/>
        <v>66814</v>
      </c>
      <c r="J32" s="29">
        <f t="shared" si="3"/>
        <v>0.11091461566221579</v>
      </c>
      <c r="K32" s="91"/>
      <c r="L32" s="71"/>
      <c r="M32" s="71"/>
      <c r="N32" s="71"/>
      <c r="O32" s="71"/>
      <c r="P32" s="71"/>
      <c r="Q32" s="71"/>
      <c r="R32" s="71"/>
      <c r="S32" s="71"/>
      <c r="T32" s="33">
        <f t="shared" si="7"/>
        <v>0</v>
      </c>
      <c r="U32" s="39">
        <f>IF(SUM(T32,U31)="","",SUM(T32,U31))</f>
        <v>50634.79</v>
      </c>
      <c r="V32" s="34">
        <f t="shared" si="8"/>
        <v>8.405630963551064E-2</v>
      </c>
      <c r="W32" s="76" t="str">
        <f t="shared" si="4"/>
        <v/>
      </c>
      <c r="X32" s="86"/>
    </row>
    <row r="33" spans="2:24" ht="20.25" customHeight="1">
      <c r="B33" s="15">
        <f>B32+1</f>
        <v>46227</v>
      </c>
      <c r="C33" s="6" t="str">
        <f t="shared" si="5"/>
        <v>sex</v>
      </c>
      <c r="D33" s="6">
        <v>5</v>
      </c>
      <c r="E33" s="6">
        <f t="shared" si="1"/>
        <v>1</v>
      </c>
      <c r="F33" s="4">
        <f>E33+F32</f>
        <v>18</v>
      </c>
      <c r="G33" s="27">
        <f t="shared" si="2"/>
        <v>637826.08695652185</v>
      </c>
      <c r="H33" s="65"/>
      <c r="I33" s="39">
        <f t="shared" si="6"/>
        <v>66814</v>
      </c>
      <c r="J33" s="29">
        <f t="shared" si="3"/>
        <v>0.10475269256987046</v>
      </c>
      <c r="K33" s="91"/>
      <c r="L33" s="71"/>
      <c r="M33" s="71"/>
      <c r="N33" s="71"/>
      <c r="O33" s="71"/>
      <c r="P33" s="71"/>
      <c r="Q33" s="71"/>
      <c r="R33" s="71"/>
      <c r="S33" s="71"/>
      <c r="T33" s="33">
        <f t="shared" si="7"/>
        <v>0</v>
      </c>
      <c r="U33" s="39">
        <f>IF(SUM(T33,U32)="","",SUM(T33,U32))</f>
        <v>50634.79</v>
      </c>
      <c r="V33" s="34">
        <f t="shared" si="8"/>
        <v>7.9386514655760049E-2</v>
      </c>
      <c r="W33" s="76" t="str">
        <f t="shared" si="4"/>
        <v/>
      </c>
      <c r="X33" s="86"/>
    </row>
    <row r="34" spans="2:24" ht="20.25" customHeight="1">
      <c r="B34" s="15">
        <f t="shared" si="9"/>
        <v>46228</v>
      </c>
      <c r="C34" s="6" t="str">
        <f t="shared" si="5"/>
        <v>sáb</v>
      </c>
      <c r="D34" s="6">
        <v>6</v>
      </c>
      <c r="E34" s="6">
        <f t="shared" si="1"/>
        <v>0</v>
      </c>
      <c r="F34" s="4">
        <f t="shared" si="13"/>
        <v>18</v>
      </c>
      <c r="G34" s="27">
        <f t="shared" si="2"/>
        <v>637826.08695652185</v>
      </c>
      <c r="H34" s="65"/>
      <c r="I34" s="39">
        <f t="shared" si="6"/>
        <v>66814</v>
      </c>
      <c r="J34" s="29">
        <f t="shared" si="3"/>
        <v>0.10475269256987046</v>
      </c>
      <c r="K34" s="91"/>
      <c r="L34" s="71"/>
      <c r="M34" s="71"/>
      <c r="N34" s="71"/>
      <c r="O34" s="71"/>
      <c r="P34" s="71"/>
      <c r="Q34" s="71"/>
      <c r="R34" s="71"/>
      <c r="S34" s="71"/>
      <c r="T34" s="33">
        <f t="shared" si="7"/>
        <v>0</v>
      </c>
      <c r="U34" s="39">
        <f>IF(SUM(T34,U33)="","",SUM(T34,U33))</f>
        <v>50634.79</v>
      </c>
      <c r="V34" s="34">
        <f t="shared" si="8"/>
        <v>7.9386514655760049E-2</v>
      </c>
      <c r="W34" s="76" t="str">
        <f t="shared" si="4"/>
        <v/>
      </c>
      <c r="X34" s="86"/>
    </row>
    <row r="35" spans="2:24" ht="20.25" customHeight="1">
      <c r="B35" s="15">
        <f t="shared" si="9"/>
        <v>46229</v>
      </c>
      <c r="C35" s="6" t="str">
        <f t="shared" si="5"/>
        <v>dom</v>
      </c>
      <c r="D35" s="6">
        <v>7</v>
      </c>
      <c r="E35" s="6">
        <f t="shared" si="1"/>
        <v>0</v>
      </c>
      <c r="F35" s="4">
        <f t="shared" si="13"/>
        <v>18</v>
      </c>
      <c r="G35" s="27">
        <f t="shared" si="2"/>
        <v>637826.08695652185</v>
      </c>
      <c r="H35" s="65"/>
      <c r="I35" s="39">
        <f t="shared" si="6"/>
        <v>66814</v>
      </c>
      <c r="J35" s="29">
        <f t="shared" si="3"/>
        <v>0.10475269256987046</v>
      </c>
      <c r="K35" s="91"/>
      <c r="L35" s="71"/>
      <c r="M35" s="71"/>
      <c r="N35" s="71"/>
      <c r="O35" s="71"/>
      <c r="P35" s="71"/>
      <c r="Q35" s="71"/>
      <c r="R35" s="71"/>
      <c r="S35" s="71"/>
      <c r="T35" s="33">
        <f t="shared" si="7"/>
        <v>0</v>
      </c>
      <c r="U35" s="39">
        <f t="shared" si="11"/>
        <v>50634.79</v>
      </c>
      <c r="V35" s="34">
        <f t="shared" si="8"/>
        <v>7.9386514655760049E-2</v>
      </c>
      <c r="W35" s="76" t="str">
        <f t="shared" si="4"/>
        <v/>
      </c>
      <c r="X35" s="86"/>
    </row>
    <row r="36" spans="2:24" ht="20.25" customHeight="1">
      <c r="B36" s="15">
        <f t="shared" si="9"/>
        <v>46230</v>
      </c>
      <c r="C36" s="6" t="str">
        <f t="shared" si="5"/>
        <v>seg</v>
      </c>
      <c r="D36" s="6">
        <v>1</v>
      </c>
      <c r="E36" s="6">
        <f t="shared" si="1"/>
        <v>1</v>
      </c>
      <c r="F36" s="4">
        <f t="shared" si="13"/>
        <v>19</v>
      </c>
      <c r="G36" s="27">
        <f t="shared" si="2"/>
        <v>673260.86956521741</v>
      </c>
      <c r="H36" s="65"/>
      <c r="I36" s="39">
        <f t="shared" si="6"/>
        <v>66814</v>
      </c>
      <c r="J36" s="29">
        <f t="shared" si="3"/>
        <v>9.9239392960929929E-2</v>
      </c>
      <c r="K36" s="91"/>
      <c r="L36" s="71"/>
      <c r="M36" s="71"/>
      <c r="N36" s="71"/>
      <c r="O36" s="71"/>
      <c r="P36" s="71"/>
      <c r="Q36" s="71"/>
      <c r="R36" s="71"/>
      <c r="S36" s="71"/>
      <c r="T36" s="33">
        <f t="shared" si="7"/>
        <v>0</v>
      </c>
      <c r="U36" s="39">
        <f t="shared" si="11"/>
        <v>50634.79</v>
      </c>
      <c r="V36" s="34">
        <f t="shared" si="8"/>
        <v>7.5208277042299002E-2</v>
      </c>
      <c r="W36" s="76" t="str">
        <f t="shared" si="4"/>
        <v/>
      </c>
      <c r="X36" s="86"/>
    </row>
    <row r="37" spans="2:24" ht="20.25" customHeight="1">
      <c r="B37" s="15">
        <f t="shared" si="9"/>
        <v>46231</v>
      </c>
      <c r="C37" s="6" t="str">
        <f t="shared" si="5"/>
        <v>ter</v>
      </c>
      <c r="D37" s="6">
        <v>2</v>
      </c>
      <c r="E37" s="6">
        <f t="shared" si="1"/>
        <v>1</v>
      </c>
      <c r="F37" s="4">
        <f t="shared" si="13"/>
        <v>20</v>
      </c>
      <c r="G37" s="27">
        <f t="shared" si="2"/>
        <v>708695.65217391308</v>
      </c>
      <c r="H37" s="65"/>
      <c r="I37" s="39">
        <f t="shared" si="6"/>
        <v>66814</v>
      </c>
      <c r="J37" s="29">
        <f t="shared" si="3"/>
        <v>9.4277423312883427E-2</v>
      </c>
      <c r="K37" s="91"/>
      <c r="L37" s="71"/>
      <c r="M37" s="71"/>
      <c r="N37" s="71"/>
      <c r="O37" s="71"/>
      <c r="P37" s="71"/>
      <c r="Q37" s="71"/>
      <c r="R37" s="71"/>
      <c r="S37" s="71"/>
      <c r="T37" s="33">
        <f t="shared" si="7"/>
        <v>0</v>
      </c>
      <c r="U37" s="39">
        <f t="shared" si="11"/>
        <v>50634.79</v>
      </c>
      <c r="V37" s="34">
        <f t="shared" si="8"/>
        <v>7.1447863190184049E-2</v>
      </c>
      <c r="W37" s="76" t="str">
        <f t="shared" si="4"/>
        <v/>
      </c>
      <c r="X37" s="86"/>
    </row>
    <row r="38" spans="2:24" ht="20.25" customHeight="1">
      <c r="B38" s="15">
        <f t="shared" si="9"/>
        <v>46232</v>
      </c>
      <c r="C38" s="6" t="str">
        <f t="shared" si="5"/>
        <v>qua</v>
      </c>
      <c r="D38" s="6">
        <v>3</v>
      </c>
      <c r="E38" s="6">
        <f t="shared" si="1"/>
        <v>1</v>
      </c>
      <c r="F38" s="4">
        <f t="shared" si="13"/>
        <v>21</v>
      </c>
      <c r="G38" s="27">
        <f t="shared" si="2"/>
        <v>744130.43478260876</v>
      </c>
      <c r="H38" s="65"/>
      <c r="I38" s="39">
        <f t="shared" si="6"/>
        <v>66814</v>
      </c>
      <c r="J38" s="29">
        <f t="shared" si="3"/>
        <v>8.9788022202746121E-2</v>
      </c>
      <c r="K38" s="91"/>
      <c r="L38" s="71"/>
      <c r="M38" s="71"/>
      <c r="N38" s="71"/>
      <c r="O38" s="71"/>
      <c r="P38" s="71"/>
      <c r="Q38" s="71"/>
      <c r="R38" s="71"/>
      <c r="S38" s="71"/>
      <c r="T38" s="33">
        <f t="shared" si="7"/>
        <v>0</v>
      </c>
      <c r="U38" s="39">
        <f t="shared" si="11"/>
        <v>50634.79</v>
      </c>
      <c r="V38" s="34">
        <f t="shared" si="8"/>
        <v>6.804558399065147E-2</v>
      </c>
      <c r="W38" s="76" t="str">
        <f t="shared" si="4"/>
        <v/>
      </c>
      <c r="X38" s="86"/>
    </row>
    <row r="39" spans="2:24" ht="20.25" customHeight="1">
      <c r="B39" s="15">
        <f t="shared" si="9"/>
        <v>46233</v>
      </c>
      <c r="C39" s="6" t="str">
        <f t="shared" si="5"/>
        <v>qui</v>
      </c>
      <c r="D39" s="6">
        <v>4</v>
      </c>
      <c r="E39" s="6">
        <f t="shared" si="1"/>
        <v>1</v>
      </c>
      <c r="F39" s="4">
        <f t="shared" si="13"/>
        <v>22</v>
      </c>
      <c r="G39" s="27">
        <f t="shared" si="2"/>
        <v>779565.21739130444</v>
      </c>
      <c r="H39" s="65"/>
      <c r="I39" s="39">
        <f t="shared" si="6"/>
        <v>66814</v>
      </c>
      <c r="J39" s="29">
        <f t="shared" si="3"/>
        <v>8.5706748466257657E-2</v>
      </c>
      <c r="K39" s="91"/>
      <c r="L39" s="71"/>
      <c r="M39" s="71"/>
      <c r="N39" s="71"/>
      <c r="O39" s="71"/>
      <c r="P39" s="71"/>
      <c r="Q39" s="71"/>
      <c r="R39" s="71"/>
      <c r="S39" s="71"/>
      <c r="T39" s="33">
        <f t="shared" si="7"/>
        <v>0</v>
      </c>
      <c r="U39" s="39">
        <f t="shared" si="11"/>
        <v>50634.79</v>
      </c>
      <c r="V39" s="34">
        <f t="shared" si="8"/>
        <v>6.4952602900167314E-2</v>
      </c>
      <c r="W39" s="76" t="str">
        <f t="shared" si="4"/>
        <v/>
      </c>
      <c r="X39" s="86"/>
    </row>
    <row r="40" spans="2:24" ht="20.25" customHeight="1">
      <c r="B40" s="16">
        <f>B39+1</f>
        <v>46234</v>
      </c>
      <c r="C40" s="17" t="str">
        <f>TEXT(B40,"ddd")</f>
        <v>sex</v>
      </c>
      <c r="D40" s="17">
        <v>2</v>
      </c>
      <c r="E40" s="6">
        <f t="shared" si="1"/>
        <v>1</v>
      </c>
      <c r="F40" s="18">
        <f>E40+F39</f>
        <v>23</v>
      </c>
      <c r="G40" s="28">
        <f>IF(F40&lt;1,"",$H$5*F40)</f>
        <v>815000.00000000012</v>
      </c>
      <c r="H40" s="67"/>
      <c r="I40" s="44">
        <f t="shared" si="6"/>
        <v>66814</v>
      </c>
      <c r="J40" s="30">
        <f t="shared" si="3"/>
        <v>8.1980368098159492E-2</v>
      </c>
      <c r="K40" s="92"/>
      <c r="L40" s="73"/>
      <c r="M40" s="73"/>
      <c r="N40" s="73"/>
      <c r="O40" s="73"/>
      <c r="P40" s="73"/>
      <c r="Q40" s="73"/>
      <c r="R40" s="73"/>
      <c r="S40" s="73"/>
      <c r="T40" s="37">
        <f t="shared" si="7"/>
        <v>0</v>
      </c>
      <c r="U40" s="44">
        <f t="shared" si="11"/>
        <v>50634.79</v>
      </c>
      <c r="V40" s="78">
        <f t="shared" si="8"/>
        <v>6.2128576687116556E-2</v>
      </c>
      <c r="W40" s="77" t="str">
        <f t="shared" si="4"/>
        <v/>
      </c>
      <c r="X40" s="87"/>
    </row>
    <row r="41" spans="2:24" ht="24" customHeight="1"/>
    <row r="43" spans="2:24" ht="14.25" customHeight="1">
      <c r="H43" s="3" t="s">
        <v>44</v>
      </c>
      <c r="I43" s="3" t="s">
        <v>45</v>
      </c>
      <c r="J43" s="3" t="s">
        <v>46</v>
      </c>
      <c r="K43" s="3" t="s">
        <v>47</v>
      </c>
      <c r="L43" s="3" t="s">
        <v>48</v>
      </c>
    </row>
    <row r="44" spans="2:24" ht="14.25" customHeight="1">
      <c r="H44" s="94">
        <f>B10</f>
        <v>46204</v>
      </c>
      <c r="I44" s="95">
        <f>G10</f>
        <v>35434.782608695656</v>
      </c>
      <c r="J44" s="95">
        <f>U10</f>
        <v>5782.28</v>
      </c>
      <c r="K44" s="95" t="str">
        <f>IF(I44&gt;J44,"",J44)</f>
        <v/>
      </c>
      <c r="L44" s="95">
        <f t="shared" ref="L44:L74" si="14">IF(I44&lt;J44,"",J44)</f>
        <v>5782.28</v>
      </c>
    </row>
    <row r="45" spans="2:24" ht="14.25" customHeight="1">
      <c r="H45" s="94">
        <f t="shared" ref="H45:H73" si="15">B11</f>
        <v>46205</v>
      </c>
      <c r="I45" s="95">
        <f t="shared" ref="I45:I73" si="16">G11</f>
        <v>70869.565217391311</v>
      </c>
      <c r="J45" s="95">
        <f t="shared" ref="J45:J73" si="17">U11</f>
        <v>23678.45</v>
      </c>
      <c r="K45" s="95" t="str">
        <f t="shared" ref="K45:K73" si="18">IF(I45&gt;J45,"",J45)</f>
        <v/>
      </c>
      <c r="L45" s="95">
        <f t="shared" si="14"/>
        <v>23678.45</v>
      </c>
    </row>
    <row r="46" spans="2:24" ht="14.25" customHeight="1">
      <c r="H46" s="94">
        <f t="shared" si="15"/>
        <v>46206</v>
      </c>
      <c r="I46" s="95">
        <f t="shared" si="16"/>
        <v>106304.34782608697</v>
      </c>
      <c r="J46" s="95">
        <f t="shared" si="17"/>
        <v>50634.79</v>
      </c>
      <c r="K46" s="95" t="str">
        <f t="shared" si="18"/>
        <v/>
      </c>
      <c r="L46" s="95">
        <f t="shared" si="14"/>
        <v>50634.79</v>
      </c>
    </row>
    <row r="47" spans="2:24" ht="14.25" customHeight="1">
      <c r="H47" s="94">
        <f t="shared" si="15"/>
        <v>46207</v>
      </c>
      <c r="I47" s="95">
        <f t="shared" si="16"/>
        <v>106304.34782608697</v>
      </c>
      <c r="J47" s="95">
        <f t="shared" si="17"/>
        <v>50634.79</v>
      </c>
      <c r="K47" s="95" t="str">
        <f t="shared" si="18"/>
        <v/>
      </c>
      <c r="L47" s="95">
        <f t="shared" si="14"/>
        <v>50634.79</v>
      </c>
    </row>
    <row r="48" spans="2:24" ht="14.25" customHeight="1">
      <c r="H48" s="94">
        <f t="shared" si="15"/>
        <v>46208</v>
      </c>
      <c r="I48" s="95">
        <f t="shared" si="16"/>
        <v>106304.34782608697</v>
      </c>
      <c r="J48" s="95">
        <f t="shared" si="17"/>
        <v>50634.79</v>
      </c>
      <c r="K48" s="95" t="str">
        <f t="shared" si="18"/>
        <v/>
      </c>
      <c r="L48" s="95">
        <f t="shared" si="14"/>
        <v>50634.79</v>
      </c>
    </row>
    <row r="49" spans="8:12" ht="14.25" customHeight="1">
      <c r="H49" s="94">
        <f t="shared" si="15"/>
        <v>46209</v>
      </c>
      <c r="I49" s="95">
        <f t="shared" si="16"/>
        <v>141739.13043478262</v>
      </c>
      <c r="J49" s="95">
        <f t="shared" si="17"/>
        <v>50634.79</v>
      </c>
      <c r="K49" s="95" t="str">
        <f t="shared" si="18"/>
        <v/>
      </c>
      <c r="L49" s="95">
        <f t="shared" si="14"/>
        <v>50634.79</v>
      </c>
    </row>
    <row r="50" spans="8:12" ht="14.25" customHeight="1">
      <c r="H50" s="94">
        <f t="shared" si="15"/>
        <v>46210</v>
      </c>
      <c r="I50" s="95">
        <f t="shared" si="16"/>
        <v>177173.91304347827</v>
      </c>
      <c r="J50" s="95">
        <f t="shared" si="17"/>
        <v>50634.79</v>
      </c>
      <c r="K50" s="95" t="str">
        <f t="shared" si="18"/>
        <v/>
      </c>
      <c r="L50" s="95">
        <f t="shared" si="14"/>
        <v>50634.79</v>
      </c>
    </row>
    <row r="51" spans="8:12" ht="14.25" customHeight="1">
      <c r="H51" s="94">
        <f t="shared" si="15"/>
        <v>46211</v>
      </c>
      <c r="I51" s="95">
        <f t="shared" si="16"/>
        <v>212608.69565217395</v>
      </c>
      <c r="J51" s="95">
        <f t="shared" si="17"/>
        <v>50634.79</v>
      </c>
      <c r="K51" s="95" t="str">
        <f t="shared" si="18"/>
        <v/>
      </c>
      <c r="L51" s="95">
        <f t="shared" si="14"/>
        <v>50634.79</v>
      </c>
    </row>
    <row r="52" spans="8:12" ht="14.25" customHeight="1">
      <c r="H52" s="94">
        <f t="shared" si="15"/>
        <v>46212</v>
      </c>
      <c r="I52" s="95">
        <f t="shared" si="16"/>
        <v>248043.4782608696</v>
      </c>
      <c r="J52" s="95">
        <f t="shared" si="17"/>
        <v>50634.79</v>
      </c>
      <c r="K52" s="95" t="str">
        <f t="shared" si="18"/>
        <v/>
      </c>
      <c r="L52" s="95">
        <f t="shared" si="14"/>
        <v>50634.79</v>
      </c>
    </row>
    <row r="53" spans="8:12" ht="14.25" customHeight="1">
      <c r="H53" s="94">
        <f t="shared" si="15"/>
        <v>46213</v>
      </c>
      <c r="I53" s="95">
        <f t="shared" si="16"/>
        <v>283478.26086956525</v>
      </c>
      <c r="J53" s="95">
        <f t="shared" si="17"/>
        <v>50634.79</v>
      </c>
      <c r="K53" s="95" t="str">
        <f t="shared" si="18"/>
        <v/>
      </c>
      <c r="L53" s="95">
        <f t="shared" si="14"/>
        <v>50634.79</v>
      </c>
    </row>
    <row r="54" spans="8:12" ht="14.25" customHeight="1">
      <c r="H54" s="94">
        <f t="shared" si="15"/>
        <v>46214</v>
      </c>
      <c r="I54" s="95">
        <f t="shared" si="16"/>
        <v>283478.26086956525</v>
      </c>
      <c r="J54" s="95">
        <f t="shared" si="17"/>
        <v>50634.79</v>
      </c>
      <c r="K54" s="95" t="str">
        <f t="shared" si="18"/>
        <v/>
      </c>
      <c r="L54" s="95">
        <f t="shared" si="14"/>
        <v>50634.79</v>
      </c>
    </row>
    <row r="55" spans="8:12" ht="14.25" customHeight="1">
      <c r="H55" s="94">
        <f t="shared" si="15"/>
        <v>46215</v>
      </c>
      <c r="I55" s="95">
        <f t="shared" si="16"/>
        <v>283478.26086956525</v>
      </c>
      <c r="J55" s="95">
        <f t="shared" si="17"/>
        <v>50634.79</v>
      </c>
      <c r="K55" s="95" t="str">
        <f t="shared" si="18"/>
        <v/>
      </c>
      <c r="L55" s="95">
        <f t="shared" si="14"/>
        <v>50634.79</v>
      </c>
    </row>
    <row r="56" spans="8:12" ht="14.25" customHeight="1">
      <c r="H56" s="94">
        <f t="shared" si="15"/>
        <v>46216</v>
      </c>
      <c r="I56" s="95">
        <f t="shared" si="16"/>
        <v>318913.04347826092</v>
      </c>
      <c r="J56" s="95">
        <f t="shared" si="17"/>
        <v>50634.79</v>
      </c>
      <c r="K56" s="95" t="str">
        <f t="shared" si="18"/>
        <v/>
      </c>
      <c r="L56" s="95">
        <f t="shared" si="14"/>
        <v>50634.79</v>
      </c>
    </row>
    <row r="57" spans="8:12" ht="14.25" customHeight="1">
      <c r="H57" s="94">
        <f t="shared" si="15"/>
        <v>46217</v>
      </c>
      <c r="I57" s="95">
        <f t="shared" si="16"/>
        <v>354347.82608695654</v>
      </c>
      <c r="J57" s="95">
        <f t="shared" si="17"/>
        <v>50634.79</v>
      </c>
      <c r="K57" s="95" t="str">
        <f t="shared" si="18"/>
        <v/>
      </c>
      <c r="L57" s="95">
        <f t="shared" si="14"/>
        <v>50634.79</v>
      </c>
    </row>
    <row r="58" spans="8:12" ht="14.25" customHeight="1">
      <c r="H58" s="94">
        <f t="shared" si="15"/>
        <v>46218</v>
      </c>
      <c r="I58" s="95">
        <f t="shared" si="16"/>
        <v>389782.60869565222</v>
      </c>
      <c r="J58" s="95">
        <f t="shared" si="17"/>
        <v>50634.79</v>
      </c>
      <c r="K58" s="95" t="str">
        <f t="shared" si="18"/>
        <v/>
      </c>
      <c r="L58" s="95">
        <f t="shared" si="14"/>
        <v>50634.79</v>
      </c>
    </row>
    <row r="59" spans="8:12" ht="14.25" customHeight="1">
      <c r="H59" s="94">
        <f t="shared" si="15"/>
        <v>46219</v>
      </c>
      <c r="I59" s="95">
        <f t="shared" si="16"/>
        <v>425217.3913043479</v>
      </c>
      <c r="J59" s="95">
        <f t="shared" si="17"/>
        <v>50634.79</v>
      </c>
      <c r="K59" s="95" t="str">
        <f t="shared" si="18"/>
        <v/>
      </c>
      <c r="L59" s="95">
        <f t="shared" si="14"/>
        <v>50634.79</v>
      </c>
    </row>
    <row r="60" spans="8:12" ht="14.25" customHeight="1">
      <c r="H60" s="94">
        <f t="shared" si="15"/>
        <v>46220</v>
      </c>
      <c r="I60" s="95">
        <f t="shared" si="16"/>
        <v>460652.17391304352</v>
      </c>
      <c r="J60" s="95">
        <f t="shared" si="17"/>
        <v>50634.79</v>
      </c>
      <c r="K60" s="95" t="str">
        <f t="shared" si="18"/>
        <v/>
      </c>
      <c r="L60" s="95">
        <f t="shared" si="14"/>
        <v>50634.79</v>
      </c>
    </row>
    <row r="61" spans="8:12" ht="14.25" customHeight="1">
      <c r="H61" s="94">
        <f t="shared" si="15"/>
        <v>46221</v>
      </c>
      <c r="I61" s="95">
        <f t="shared" si="16"/>
        <v>460652.17391304352</v>
      </c>
      <c r="J61" s="95">
        <f t="shared" si="17"/>
        <v>50634.79</v>
      </c>
      <c r="K61" s="95" t="str">
        <f t="shared" si="18"/>
        <v/>
      </c>
      <c r="L61" s="95">
        <f t="shared" si="14"/>
        <v>50634.79</v>
      </c>
    </row>
    <row r="62" spans="8:12" ht="14.25" customHeight="1">
      <c r="H62" s="94">
        <f t="shared" si="15"/>
        <v>46222</v>
      </c>
      <c r="I62" s="95">
        <f t="shared" si="16"/>
        <v>460652.17391304352</v>
      </c>
      <c r="J62" s="95">
        <f t="shared" si="17"/>
        <v>50634.79</v>
      </c>
      <c r="K62" s="95" t="str">
        <f t="shared" si="18"/>
        <v/>
      </c>
      <c r="L62" s="95">
        <f t="shared" si="14"/>
        <v>50634.79</v>
      </c>
    </row>
    <row r="63" spans="8:12" ht="14.25" customHeight="1">
      <c r="H63" s="94">
        <f t="shared" si="15"/>
        <v>46223</v>
      </c>
      <c r="I63" s="95">
        <f t="shared" si="16"/>
        <v>496086.95652173919</v>
      </c>
      <c r="J63" s="95">
        <f t="shared" si="17"/>
        <v>50634.79</v>
      </c>
      <c r="K63" s="95" t="str">
        <f t="shared" si="18"/>
        <v/>
      </c>
      <c r="L63" s="95">
        <f t="shared" si="14"/>
        <v>50634.79</v>
      </c>
    </row>
    <row r="64" spans="8:12" ht="14.25" customHeight="1">
      <c r="H64" s="94">
        <f t="shared" si="15"/>
        <v>46224</v>
      </c>
      <c r="I64" s="95">
        <f t="shared" si="16"/>
        <v>531521.73913043481</v>
      </c>
      <c r="J64" s="95">
        <f t="shared" si="17"/>
        <v>50634.79</v>
      </c>
      <c r="K64" s="95" t="str">
        <f t="shared" si="18"/>
        <v/>
      </c>
      <c r="L64" s="95">
        <f t="shared" si="14"/>
        <v>50634.79</v>
      </c>
    </row>
    <row r="65" spans="8:12" ht="14.25" customHeight="1">
      <c r="H65" s="94">
        <f t="shared" si="15"/>
        <v>46225</v>
      </c>
      <c r="I65" s="95">
        <f t="shared" si="16"/>
        <v>566956.52173913049</v>
      </c>
      <c r="J65" s="95">
        <f t="shared" si="17"/>
        <v>50634.79</v>
      </c>
      <c r="K65" s="95" t="str">
        <f t="shared" si="18"/>
        <v/>
      </c>
      <c r="L65" s="95">
        <f t="shared" si="14"/>
        <v>50634.79</v>
      </c>
    </row>
    <row r="66" spans="8:12" ht="14.25" customHeight="1">
      <c r="H66" s="94">
        <f t="shared" si="15"/>
        <v>46226</v>
      </c>
      <c r="I66" s="95">
        <f t="shared" si="16"/>
        <v>602391.30434782617</v>
      </c>
      <c r="J66" s="95">
        <f t="shared" si="17"/>
        <v>50634.79</v>
      </c>
      <c r="K66" s="95" t="str">
        <f t="shared" si="18"/>
        <v/>
      </c>
      <c r="L66" s="95">
        <f t="shared" si="14"/>
        <v>50634.79</v>
      </c>
    </row>
    <row r="67" spans="8:12" ht="14.25" customHeight="1">
      <c r="H67" s="94">
        <f t="shared" si="15"/>
        <v>46227</v>
      </c>
      <c r="I67" s="95">
        <f t="shared" si="16"/>
        <v>637826.08695652185</v>
      </c>
      <c r="J67" s="95">
        <f t="shared" si="17"/>
        <v>50634.79</v>
      </c>
      <c r="K67" s="95" t="str">
        <f t="shared" si="18"/>
        <v/>
      </c>
      <c r="L67" s="95">
        <f t="shared" si="14"/>
        <v>50634.79</v>
      </c>
    </row>
    <row r="68" spans="8:12" ht="14.25" customHeight="1">
      <c r="H68" s="94">
        <f t="shared" si="15"/>
        <v>46228</v>
      </c>
      <c r="I68" s="95">
        <f t="shared" si="16"/>
        <v>637826.08695652185</v>
      </c>
      <c r="J68" s="95">
        <f t="shared" si="17"/>
        <v>50634.79</v>
      </c>
      <c r="K68" s="95" t="str">
        <f t="shared" si="18"/>
        <v/>
      </c>
      <c r="L68" s="95">
        <f t="shared" si="14"/>
        <v>50634.79</v>
      </c>
    </row>
    <row r="69" spans="8:12" ht="14.25" customHeight="1">
      <c r="H69" s="94">
        <f t="shared" si="15"/>
        <v>46229</v>
      </c>
      <c r="I69" s="95">
        <f t="shared" si="16"/>
        <v>637826.08695652185</v>
      </c>
      <c r="J69" s="95">
        <f t="shared" si="17"/>
        <v>50634.79</v>
      </c>
      <c r="K69" s="95" t="str">
        <f t="shared" si="18"/>
        <v/>
      </c>
      <c r="L69" s="95">
        <f t="shared" si="14"/>
        <v>50634.79</v>
      </c>
    </row>
    <row r="70" spans="8:12" ht="14.25" customHeight="1">
      <c r="H70" s="94">
        <f t="shared" si="15"/>
        <v>46230</v>
      </c>
      <c r="I70" s="95">
        <f t="shared" si="16"/>
        <v>673260.86956521741</v>
      </c>
      <c r="J70" s="95">
        <f t="shared" si="17"/>
        <v>50634.79</v>
      </c>
      <c r="K70" s="95" t="str">
        <f t="shared" si="18"/>
        <v/>
      </c>
      <c r="L70" s="95">
        <f t="shared" si="14"/>
        <v>50634.79</v>
      </c>
    </row>
    <row r="71" spans="8:12" ht="14.25" customHeight="1">
      <c r="H71" s="94">
        <f t="shared" si="15"/>
        <v>46231</v>
      </c>
      <c r="I71" s="95">
        <f t="shared" si="16"/>
        <v>708695.65217391308</v>
      </c>
      <c r="J71" s="95">
        <f t="shared" si="17"/>
        <v>50634.79</v>
      </c>
      <c r="K71" s="95" t="str">
        <f t="shared" si="18"/>
        <v/>
      </c>
      <c r="L71" s="95">
        <f t="shared" si="14"/>
        <v>50634.79</v>
      </c>
    </row>
    <row r="72" spans="8:12" ht="14.25" customHeight="1">
      <c r="H72" s="94">
        <f t="shared" si="15"/>
        <v>46232</v>
      </c>
      <c r="I72" s="95">
        <f t="shared" si="16"/>
        <v>744130.43478260876</v>
      </c>
      <c r="J72" s="95">
        <f t="shared" si="17"/>
        <v>50634.79</v>
      </c>
      <c r="K72" s="95" t="str">
        <f t="shared" si="18"/>
        <v/>
      </c>
      <c r="L72" s="95">
        <f t="shared" si="14"/>
        <v>50634.79</v>
      </c>
    </row>
    <row r="73" spans="8:12" ht="14.25" customHeight="1">
      <c r="H73" s="94">
        <f t="shared" si="15"/>
        <v>46233</v>
      </c>
      <c r="I73" s="95">
        <f t="shared" si="16"/>
        <v>779565.21739130444</v>
      </c>
      <c r="J73" s="95">
        <f t="shared" si="17"/>
        <v>50634.79</v>
      </c>
      <c r="K73" s="95" t="str">
        <f t="shared" si="18"/>
        <v/>
      </c>
      <c r="L73" s="95">
        <f t="shared" si="14"/>
        <v>50634.79</v>
      </c>
    </row>
    <row r="74" spans="8:12" ht="14.25" customHeight="1">
      <c r="H74" s="94">
        <f>B40</f>
        <v>46234</v>
      </c>
      <c r="I74" s="95">
        <f>G40</f>
        <v>815000.00000000012</v>
      </c>
      <c r="J74" s="95">
        <f>U40</f>
        <v>50634.79</v>
      </c>
      <c r="K74" s="95" t="str">
        <f>IF(I74&gt;J74,"",J74)</f>
        <v/>
      </c>
      <c r="L74" s="95">
        <f t="shared" si="14"/>
        <v>50634.79</v>
      </c>
    </row>
  </sheetData>
  <mergeCells count="16">
    <mergeCell ref="V7:V9"/>
    <mergeCell ref="B2:X2"/>
    <mergeCell ref="B3:X3"/>
    <mergeCell ref="B6:B9"/>
    <mergeCell ref="C6:C9"/>
    <mergeCell ref="G6:G9"/>
    <mergeCell ref="H6:J6"/>
    <mergeCell ref="K6:V6"/>
    <mergeCell ref="W6:W9"/>
    <mergeCell ref="X6:X9"/>
    <mergeCell ref="H7:H9"/>
    <mergeCell ref="I7:I9"/>
    <mergeCell ref="J7:J9"/>
    <mergeCell ref="K7:K9"/>
    <mergeCell ref="T7:T9"/>
    <mergeCell ref="U7:U9"/>
  </mergeCells>
  <conditionalFormatting sqref="C10:C40">
    <cfRule type="cellIs" dxfId="1" priority="1" operator="equal">
      <formula>"dom"</formula>
    </cfRule>
    <cfRule type="cellIs" dxfId="0" priority="2" operator="equal">
      <formula>"sáb"</formula>
    </cfRule>
  </conditionalFormatting>
  <pageMargins left="0.19685039370078741" right="0.19685039370078741" top="0.19685039370078741" bottom="0.19685039370078741" header="0" footer="0"/>
  <pageSetup paperSize="9" scale="55" orientation="landscape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fd755-f73f-492c-a91b-4fddd6a0b82a" xsi:nil="true"/>
    <lcf76f155ced4ddcb4097134ff3c332f xmlns="c1a23f14-ec00-41c1-94d8-a28a7b83d08b">
      <Terms xmlns="http://schemas.microsoft.com/office/infopath/2007/PartnerControls"/>
    </lcf76f155ced4ddcb4097134ff3c332f>
    <MediaLengthInSeconds xmlns="c1a23f14-ec00-41c1-94d8-a28a7b83d08b" xsi:nil="true"/>
    <_Flow_SignoffStatus xmlns="c1a23f14-ec00-41c1-94d8-a28a7b83d0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B44EBAEF1C74B93B50996E077E34A" ma:contentTypeVersion="17" ma:contentTypeDescription="Create a new document." ma:contentTypeScope="" ma:versionID="3644d048f7d735fb3212143077aa36fb">
  <xsd:schema xmlns:xsd="http://www.w3.org/2001/XMLSchema" xmlns:xs="http://www.w3.org/2001/XMLSchema" xmlns:p="http://schemas.microsoft.com/office/2006/metadata/properties" xmlns:ns2="4f8fd755-f73f-492c-a91b-4fddd6a0b82a" xmlns:ns3="c1a23f14-ec00-41c1-94d8-a28a7b83d08b" targetNamespace="http://schemas.microsoft.com/office/2006/metadata/properties" ma:root="true" ma:fieldsID="9ce0e6cb8eb5e000c3be018e9dc12d09" ns2:_="" ns3:_="">
    <xsd:import namespace="4f8fd755-f73f-492c-a91b-4fddd6a0b82a"/>
    <xsd:import namespace="c1a23f14-ec00-41c1-94d8-a28a7b83d0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fd755-f73f-492c-a91b-4fddd6a0b82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fd87d54-68fd-44ec-b8e5-ca5f740e2a4e}" ma:internalName="TaxCatchAll" ma:showField="CatchAllData" ma:web="4f8fd755-f73f-492c-a91b-4fddd6a0b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23f14-ec00-41c1-94d8-a28a7b83d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be603d9-d412-45f1-9893-d58fb158b2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6496F1-7AFD-4DE9-B262-833161E078AD}"/>
</file>

<file path=customXml/itemProps2.xml><?xml version="1.0" encoding="utf-8"?>
<ds:datastoreItem xmlns:ds="http://schemas.openxmlformats.org/officeDocument/2006/customXml" ds:itemID="{23CD593F-39E0-4722-B571-809A4765F6AE}"/>
</file>

<file path=customXml/itemProps3.xml><?xml version="1.0" encoding="utf-8"?>
<ds:datastoreItem xmlns:ds="http://schemas.openxmlformats.org/officeDocument/2006/customXml" ds:itemID="{AE2C2B28-74FC-4FB5-B087-D3DA890A4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</dc:creator>
  <cp:keywords/>
  <dc:description/>
  <cp:lastModifiedBy/>
  <cp:revision/>
  <dcterms:created xsi:type="dcterms:W3CDTF">2022-05-18T13:18:05Z</dcterms:created>
  <dcterms:modified xsi:type="dcterms:W3CDTF">2026-07-06T13:45:45Z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0x010100C25B44EBAEF1C74B93B50996E077E34A</vt:lpwstr>
  </property>
  <property fmtid="{D5CDD505-2E9C-101B-9397-08002B2CF9AE}" pid="3" name="Order">
    <vt:r8>717000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